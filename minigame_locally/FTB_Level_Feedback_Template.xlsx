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evels" sheetId="2" state="visible" r:id="rId4"/>
    <sheet name="TEMPLATE" sheetId="3" state="visible" r:id="rId5"/>
    <sheet name="Master" sheetId="4" state="visible" r:id="rId6"/>
    <sheet name="Tracking" sheetId="5" state="visible" r:id="rId7"/>
    <sheet name="Change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<sst xmlns="http://schemas.openxmlformats.org/spreadsheetml/2006/main" count="581" uniqueCount="139">
  <si>
    <t xml:space="preserve">Feed the Bear — Level Feedback Template</t>
  </si>
  <si>
    <t xml:space="preserve">How to use this spreadsheet:</t>
  </si>
  <si>
    <t xml:space="preserve">1. Go to the "Levels" sheet to see all levels currently in the 3 progressions.</t>
  </si>
  <si>
    <t xml:space="preserve">2. Duplicate the "TEMPLATE" sheet and rename it with your name (e.g., "Karina").</t>
  </si>
  <si>
    <t xml:space="preserve">3. Play each level and fill in your feedback: solved?, attempts, checkboxes, comments.</t>
  </si>
  <si>
    <t xml:space="preserve">4. The "Master" sheet will automatically aggregate everyone's responses.</t>
  </si>
  <si>
    <t xml:space="preserve">5. The "Tracking" sheet logs every level change (version, who, why).</t>
  </si>
  <si>
    <t xml:space="preserve">6. The "Changelog" sheet is the team activity log.</t>
  </si>
  <si>
    <t xml:space="preserve">Checkbox columns: mark YES for anything that applies.</t>
  </si>
  <si>
    <t xml:space="preserve">  Too Easy? — You solved it without thinking.</t>
  </si>
  <si>
    <t xml:space="preserve">  Too Hard? — You couldn't solve it or it felt frustrating.</t>
  </si>
  <si>
    <t xml:space="preserve">  Boring? — It was solvable but not interesting.</t>
  </si>
  <si>
    <t xml:space="preserve">  Would Drop? — You'd remove this level from the progression.</t>
  </si>
  <si>
    <t xml:space="preserve">  Would Change? — You'd keep it but tweak something (explain in Comments).</t>
  </si>
  <si>
    <t xml:space="preserve">  Fun! — You enjoyed it. The "I did it" feeling.</t>
  </si>
  <si>
    <t xml:space="preserve">Business Test: April 13, 2026</t>
  </si>
  <si>
    <t xml:space="preserve">Goal: Identify levels that need tweaking before the test.</t>
  </si>
  <si>
    <t xml:space="preserve">#</t>
  </si>
  <si>
    <t xml:space="preserve">Progression</t>
  </si>
  <si>
    <t xml:space="preserve">Slot</t>
  </si>
  <si>
    <t xml:space="preserve">Filename</t>
  </si>
  <si>
    <t xml:space="preserve">Board</t>
  </si>
  <si>
    <t xml:space="preserve">Pairs</t>
  </si>
  <si>
    <t xml:space="preserve">Blockers</t>
  </si>
  <si>
    <t xml:space="preserve">Solutions</t>
  </si>
  <si>
    <t xml:space="preserve">Difficulty</t>
  </si>
  <si>
    <t xml:space="preserve">Status</t>
  </si>
  <si>
    <t xml:space="preserve">Prog A</t>
  </si>
  <si>
    <t xml:space="preserve">0</t>
  </si>
  <si>
    <t xml:space="preserve">tutorial_level.json</t>
  </si>
  <si>
    <t xml:space="preserve">6x6</t>
  </si>
  <si>
    <t xml:space="preserve">3</t>
  </si>
  <si>
    <t xml:space="preserve">EASY</t>
  </si>
  <si>
    <t xml:space="preserve">INVALID</t>
  </si>
  <si>
    <t xml:space="preserve">1</t>
  </si>
  <si>
    <t xml:space="preserve">progression1_level1.json</t>
  </si>
  <si>
    <t xml:space="preserve">5x5</t>
  </si>
  <si>
    <t xml:space="preserve">4</t>
  </si>
  <si>
    <t xml:space="preserve">2</t>
  </si>
  <si>
    <t xml:space="preserve">progresion1_level2.json</t>
  </si>
  <si>
    <t xml:space="preserve">20</t>
  </si>
  <si>
    <t xml:space="preserve">OK</t>
  </si>
  <si>
    <t xml:space="preserve">progression1_level3.json</t>
  </si>
  <si>
    <t xml:space="preserve">4x4</t>
  </si>
  <si>
    <t xml:space="preserve">MEDIUM</t>
  </si>
  <si>
    <t xml:space="preserve">progression1_level4.json</t>
  </si>
  <si>
    <t xml:space="preserve">5</t>
  </si>
  <si>
    <t xml:space="preserve">progression1_level5.json</t>
  </si>
  <si>
    <t xml:space="preserve">6</t>
  </si>
  <si>
    <t xml:space="preserve">progresion1_level6.json</t>
  </si>
  <si>
    <t xml:space="preserve">14</t>
  </si>
  <si>
    <t xml:space="preserve">7</t>
  </si>
  <si>
    <t xml:space="preserve">progression1_level7_v2.json</t>
  </si>
  <si>
    <t xml:space="preserve">7x7</t>
  </si>
  <si>
    <t xml:space="preserve">8</t>
  </si>
  <si>
    <t xml:space="preserve">progression1_level8.json</t>
  </si>
  <si>
    <t xml:space="preserve">9</t>
  </si>
  <si>
    <t xml:space="preserve">progression1_level9.json</t>
  </si>
  <si>
    <t xml:space="preserve">10</t>
  </si>
  <si>
    <t xml:space="preserve">progression1_level10.json</t>
  </si>
  <si>
    <t xml:space="preserve">6x7</t>
  </si>
  <si>
    <t xml:space="preserve">HARD</t>
  </si>
  <si>
    <t xml:space="preserve">Prog B</t>
  </si>
  <si>
    <t xml:space="preserve">progresion2_level1.json</t>
  </si>
  <si>
    <t xml:space="preserve">progresion2_level2.json</t>
  </si>
  <si>
    <t xml:space="preserve">13</t>
  </si>
  <si>
    <t xml:space="preserve">progresion2_level3.json</t>
  </si>
  <si>
    <t xml:space="preserve">progresion2_level4.json</t>
  </si>
  <si>
    <t xml:space="preserve">progresion2_level5.json</t>
  </si>
  <si>
    <t xml:space="preserve">progresion2_level6.json</t>
  </si>
  <si>
    <t xml:space="preserve">progresion2_level7.json</t>
  </si>
  <si>
    <t xml:space="preserve">8x9</t>
  </si>
  <si>
    <t xml:space="preserve">progresion2_level8.json</t>
  </si>
  <si>
    <t xml:space="preserve">8x8</t>
  </si>
  <si>
    <t xml:space="preserve">progresion2_level9.json</t>
  </si>
  <si>
    <t xml:space="preserve">progresion2_level10.json</t>
  </si>
  <si>
    <t xml:space="preserve">Prog C</t>
  </si>
  <si>
    <t xml:space="preserve">progression3_level1_v2.json</t>
  </si>
  <si>
    <t xml:space="preserve">progression_3_level_2_v2.json</t>
  </si>
  <si>
    <t xml:space="preserve">progression_3_level3.json</t>
  </si>
  <si>
    <t xml:space="preserve">8x7</t>
  </si>
  <si>
    <t xml:space="preserve">progression_3_level4.json</t>
  </si>
  <si>
    <t xml:space="preserve">progression_3_level5.json</t>
  </si>
  <si>
    <t xml:space="preserve">progression_3_level6.json</t>
  </si>
  <si>
    <t xml:space="preserve">progression_3_level7_v2.json</t>
  </si>
  <si>
    <t xml:space="preserve">6x5</t>
  </si>
  <si>
    <t xml:space="preserve">progression_3_level8.json</t>
  </si>
  <si>
    <t xml:space="preserve">progression_3_level9_v2.json</t>
  </si>
  <si>
    <t xml:space="preserve">9x9</t>
  </si>
  <si>
    <t xml:space="preserve">12</t>
  </si>
  <si>
    <t xml:space="preserve">progression_3_level10_v2.json</t>
  </si>
  <si>
    <t xml:space="preserve">Your Name:</t>
  </si>
  <si>
    <t xml:space="preserve">[WRITE YOUR NAME HERE]</t>
  </si>
  <si>
    <t xml:space="preserve">Prog</t>
  </si>
  <si>
    <t xml:space="preserve">Level</t>
  </si>
  <si>
    <t xml:space="preserve">Solved?</t>
  </si>
  <si>
    <t xml:space="preserve">Attempts</t>
  </si>
  <si>
    <t xml:space="preserve">Too Easy?</t>
  </si>
  <si>
    <t xml:space="preserve">Too Hard?</t>
  </si>
  <si>
    <t xml:space="preserve">Boring?</t>
  </si>
  <si>
    <t xml:space="preserve">Would Drop?</t>
  </si>
  <si>
    <t xml:space="preserve">Would Change?</t>
  </si>
  <si>
    <t xml:space="preserve">Fun!</t>
  </si>
  <si>
    <t xml:space="preserve">Comments</t>
  </si>
  <si>
    <t xml:space="preserve">MASTER AGGREGATION — Auto-calculated from individual sheets</t>
  </si>
  <si>
    <t xml:space="preserve">Add tester sheet names in row 3 (B3, C3, etc.). Formulas count YES responses across all listed sheets.</t>
  </si>
  <si>
    <t xml:space="preserve">Testers →</t>
  </si>
  <si>
    <t xml:space="preserve">Tester 1</t>
  </si>
  <si>
    <t xml:space="preserve">Tester 2</t>
  </si>
  <si>
    <t xml:space="preserve">Tester 3</t>
  </si>
  <si>
    <t xml:space="preserve">Tester 4</t>
  </si>
  <si>
    <t xml:space="preserve">Tester 5</t>
  </si>
  <si>
    <t xml:space="preserve">Tester 6</t>
  </si>
  <si>
    <t xml:space="preserve">Tester 7</t>
  </si>
  <si>
    <t xml:space="preserve">Tester 8</t>
  </si>
  <si>
    <t xml:space="preserve">Solved %</t>
  </si>
  <si>
    <t xml:space="preserve">Avg Attempts</t>
  </si>
  <si>
    <t xml:space="preserve">% Too Easy</t>
  </si>
  <si>
    <t xml:space="preserve">% Too Hard</t>
  </si>
  <si>
    <t xml:space="preserve">% Boring</t>
  </si>
  <si>
    <t xml:space="preserve">% Would Drop</t>
  </si>
  <si>
    <t xml:space="preserve">% Would Change</t>
  </si>
  <si>
    <t xml:space="preserve">% Fun</t>
  </si>
  <si>
    <t xml:space="preserve">Priority</t>
  </si>
  <si>
    <t xml:space="preserve">Action</t>
  </si>
  <si>
    <t xml:space="preserve">Priority score: higher = needs more attention. Formula: (Drop×3) + (Easy×1) + (Hard×2) + (Boring×2) - (Fun×2)</t>
  </si>
  <si>
    <t xml:space="preserve">Date</t>
  </si>
  <si>
    <t xml:space="preserve">Who</t>
  </si>
  <si>
    <t xml:space="preserve">Old Filename</t>
  </si>
  <si>
    <t xml:space="preserve">New Filename</t>
  </si>
  <si>
    <t xml:space="preserve">Change Type</t>
  </si>
  <si>
    <t xml:space="preserve">What Changed</t>
  </si>
  <si>
    <t xml:space="preserve">Reason (from feedback)</t>
  </si>
  <si>
    <t xml:space="preserve">Priority Score</t>
  </si>
  <si>
    <t xml:space="preserve">Details</t>
  </si>
  <si>
    <t xml:space="preserve">2026-03-24</t>
  </si>
  <si>
    <t xml:space="preserve">Claude</t>
  </si>
  <si>
    <t xml:space="preserve">Created template</t>
  </si>
  <si>
    <t xml:space="preserve">Initial feedback template with 30 levels from Prog A, B, C. Ready for team distribution.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</si>
</sst>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1B2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E74C3C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color rgb="FF99999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CC71"/>
        <bgColor rgb="FF339966"/>
      </patternFill>
    </fill>
    <fill>
      <patternFill patternType="solid">
        <fgColor rgb="FFF8F9FA"/>
        <bgColor rgb="FFFFFFFF"/>
      </patternFill>
    </fill>
    <fill>
      <patternFill patternType="solid">
        <fgColor rgb="FFFDECEA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39C12"/>
        <bgColor rgb="FFFFCC00"/>
      </patternFill>
    </fill>
    <fill>
      <patternFill patternType="solid">
        <fgColor rgb="FF3A7BD5"/>
        <bgColor rgb="FF0066CC"/>
      </patternFill>
    </fill>
    <fill>
      <patternFill patternType="solid">
        <fgColor rgb="FFE74C3C"/>
        <bgColor rgb="FFFF8080"/>
      </patternFill>
    </fill>
    <fill>
      <patternFill patternType="solid">
        <fgColor rgb="FF9B59B6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9B59B6"/>
      <rgbColor rgb="FF9999FF"/>
      <rgbColor rgb="FF993366"/>
      <rgbColor rgb="FFF8F9FA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3A7BD5"/>
      <rgbColor rgb="FF2ECC71"/>
      <rgbColor rgb="FF99CC00"/>
      <rgbColor rgb="FFFFCC00"/>
      <rgbColor rgb="FFF39C12"/>
      <rgbColor rgb="FFE74C3C"/>
      <rgbColor rgb="FF666666"/>
      <rgbColor rgb="FF999999"/>
      <rgbColor rgb="FF003366"/>
      <rgbColor rgb="FF339966"/>
      <rgbColor rgb="FF003300"/>
      <rgbColor rgb="FF1B1B2F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7BD5"/>
    <pageSetUpPr fitToPage="false"/>
  </sheetPr>
  <dimension ref="A2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</cols>
  <sheetData>
    <row r="2" customFormat="false" ht="17.35" hidden="false" customHeight="false" outlineLevel="0" collapsed="false">
      <c r="A2" s="1" t="s">
        <v>0</v>
      </c>
    </row>
    <row r="4" customFormat="false" ht="15" hidden="false" customHeight="false" outlineLevel="0" collapsed="false">
      <c r="A4" s="2" t="s">
        <v>1</v>
      </c>
    </row>
    <row r="6" customFormat="false" ht="15" hidden="false" customHeight="false" outlineLevel="0" collapsed="false">
      <c r="A6" s="3" t="s">
        <v>2</v>
      </c>
    </row>
    <row r="7" customFormat="false" ht="15" hidden="false" customHeight="false" outlineLevel="0" collapsed="false">
      <c r="A7" s="3" t="s">
        <v>3</v>
      </c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C71"/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35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10" min="8" style="0" width="10"/>
  </cols>
  <sheetData>
    <row r="1" customFormat="false" ht="23.8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</row>
    <row r="2" customFormat="false" ht="15" hidden="false" customHeight="false" outlineLevel="0" collapsed="false">
      <c r="A2" s="5" t="n">
        <v>1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31</v>
      </c>
      <c r="H2" s="5" t="s">
        <v>28</v>
      </c>
      <c r="I2" s="5" t="s">
        <v>32</v>
      </c>
      <c r="J2" s="6" t="s">
        <v>33</v>
      </c>
    </row>
    <row r="3" customFormat="false" ht="15" hidden="false" customHeight="false" outlineLevel="0" collapsed="false">
      <c r="A3" s="7" t="n">
        <v>2</v>
      </c>
      <c r="B3" s="7" t="s">
        <v>27</v>
      </c>
      <c r="C3" s="7" t="s">
        <v>34</v>
      </c>
      <c r="D3" s="7" t="s">
        <v>35</v>
      </c>
      <c r="E3" s="7" t="s">
        <v>36</v>
      </c>
      <c r="F3" s="7" t="s">
        <v>37</v>
      </c>
      <c r="G3" s="7" t="s">
        <v>34</v>
      </c>
      <c r="H3" s="7" t="s">
        <v>28</v>
      </c>
      <c r="I3" s="7" t="s">
        <v>32</v>
      </c>
      <c r="J3" s="6" t="s">
        <v>33</v>
      </c>
    </row>
    <row r="4" customFormat="false" ht="15" hidden="false" customHeight="false" outlineLevel="0" collapsed="false">
      <c r="A4" s="5" t="n">
        <v>3</v>
      </c>
      <c r="B4" s="5" t="s">
        <v>27</v>
      </c>
      <c r="C4" s="5" t="s">
        <v>38</v>
      </c>
      <c r="D4" s="5" t="s">
        <v>39</v>
      </c>
      <c r="E4" s="5" t="s">
        <v>36</v>
      </c>
      <c r="F4" s="5" t="s">
        <v>31</v>
      </c>
      <c r="G4" s="5" t="s">
        <v>28</v>
      </c>
      <c r="H4" s="5" t="s">
        <v>40</v>
      </c>
      <c r="I4" s="5" t="s">
        <v>32</v>
      </c>
      <c r="J4" s="5" t="s">
        <v>41</v>
      </c>
    </row>
    <row r="5" customFormat="false" ht="15" hidden="false" customHeight="false" outlineLevel="0" collapsed="false">
      <c r="A5" s="7" t="n">
        <v>4</v>
      </c>
      <c r="B5" s="7" t="s">
        <v>27</v>
      </c>
      <c r="C5" s="7" t="s">
        <v>31</v>
      </c>
      <c r="D5" s="7" t="s">
        <v>42</v>
      </c>
      <c r="E5" s="7" t="s">
        <v>43</v>
      </c>
      <c r="F5" s="7" t="s">
        <v>31</v>
      </c>
      <c r="G5" s="7" t="s">
        <v>34</v>
      </c>
      <c r="H5" s="7" t="s">
        <v>38</v>
      </c>
      <c r="I5" s="7" t="s">
        <v>44</v>
      </c>
      <c r="J5" s="7" t="s">
        <v>41</v>
      </c>
    </row>
    <row r="6" customFormat="false" ht="15" hidden="false" customHeight="false" outlineLevel="0" collapsed="false">
      <c r="A6" s="5" t="n">
        <v>5</v>
      </c>
      <c r="B6" s="5" t="s">
        <v>27</v>
      </c>
      <c r="C6" s="5" t="s">
        <v>37</v>
      </c>
      <c r="D6" s="5" t="s">
        <v>45</v>
      </c>
      <c r="E6" s="5" t="s">
        <v>36</v>
      </c>
      <c r="F6" s="5" t="s">
        <v>46</v>
      </c>
      <c r="G6" s="5" t="s">
        <v>31</v>
      </c>
      <c r="H6" s="5" t="s">
        <v>40</v>
      </c>
      <c r="I6" s="5" t="s">
        <v>32</v>
      </c>
      <c r="J6" s="5" t="s">
        <v>41</v>
      </c>
    </row>
    <row r="7" customFormat="false" ht="15" hidden="false" customHeight="false" outlineLevel="0" collapsed="false">
      <c r="A7" s="7" t="n">
        <v>6</v>
      </c>
      <c r="B7" s="7" t="s">
        <v>27</v>
      </c>
      <c r="C7" s="7" t="s">
        <v>46</v>
      </c>
      <c r="D7" s="7" t="s">
        <v>47</v>
      </c>
      <c r="E7" s="7" t="s">
        <v>43</v>
      </c>
      <c r="F7" s="7" t="s">
        <v>31</v>
      </c>
      <c r="G7" s="7" t="s">
        <v>28</v>
      </c>
      <c r="H7" s="7" t="s">
        <v>40</v>
      </c>
      <c r="I7" s="7" t="s">
        <v>32</v>
      </c>
      <c r="J7" s="7" t="s">
        <v>41</v>
      </c>
    </row>
    <row r="8" customFormat="false" ht="15" hidden="false" customHeight="false" outlineLevel="0" collapsed="false">
      <c r="A8" s="5" t="n">
        <v>7</v>
      </c>
      <c r="B8" s="5" t="s">
        <v>27</v>
      </c>
      <c r="C8" s="5" t="s">
        <v>48</v>
      </c>
      <c r="D8" s="5" t="s">
        <v>49</v>
      </c>
      <c r="E8" s="5" t="s">
        <v>30</v>
      </c>
      <c r="F8" s="5" t="s">
        <v>37</v>
      </c>
      <c r="G8" s="5" t="s">
        <v>46</v>
      </c>
      <c r="H8" s="5" t="s">
        <v>50</v>
      </c>
      <c r="I8" s="5" t="s">
        <v>32</v>
      </c>
      <c r="J8" s="5" t="s">
        <v>41</v>
      </c>
    </row>
    <row r="9" customFormat="false" ht="15" hidden="false" customHeight="false" outlineLevel="0" collapsed="false">
      <c r="A9" s="7" t="n">
        <v>8</v>
      </c>
      <c r="B9" s="7" t="s">
        <v>27</v>
      </c>
      <c r="C9" s="7" t="s">
        <v>51</v>
      </c>
      <c r="D9" s="7" t="s">
        <v>52</v>
      </c>
      <c r="E9" s="7" t="s">
        <v>53</v>
      </c>
      <c r="F9" s="7" t="s">
        <v>48</v>
      </c>
      <c r="G9" s="7" t="s">
        <v>48</v>
      </c>
      <c r="H9" s="7" t="s">
        <v>28</v>
      </c>
      <c r="I9" s="7" t="s">
        <v>32</v>
      </c>
      <c r="J9" s="6" t="s">
        <v>33</v>
      </c>
    </row>
    <row r="10" customFormat="false" ht="15" hidden="false" customHeight="false" outlineLevel="0" collapsed="false">
      <c r="A10" s="5" t="n">
        <v>9</v>
      </c>
      <c r="B10" s="5" t="s">
        <v>27</v>
      </c>
      <c r="C10" s="5" t="s">
        <v>54</v>
      </c>
      <c r="D10" s="5" t="s">
        <v>55</v>
      </c>
      <c r="E10" s="5" t="s">
        <v>30</v>
      </c>
      <c r="F10" s="5" t="s">
        <v>31</v>
      </c>
      <c r="G10" s="5" t="s">
        <v>48</v>
      </c>
      <c r="H10" s="5" t="s">
        <v>28</v>
      </c>
      <c r="I10" s="5" t="s">
        <v>44</v>
      </c>
      <c r="J10" s="6" t="s">
        <v>33</v>
      </c>
    </row>
    <row r="11" customFormat="false" ht="15" hidden="false" customHeight="false" outlineLevel="0" collapsed="false">
      <c r="A11" s="7" t="n">
        <v>10</v>
      </c>
      <c r="B11" s="7" t="s">
        <v>27</v>
      </c>
      <c r="C11" s="7" t="s">
        <v>56</v>
      </c>
      <c r="D11" s="7" t="s">
        <v>57</v>
      </c>
      <c r="E11" s="7" t="s">
        <v>36</v>
      </c>
      <c r="F11" s="7" t="s">
        <v>37</v>
      </c>
      <c r="G11" s="7" t="s">
        <v>38</v>
      </c>
      <c r="H11" s="7" t="s">
        <v>40</v>
      </c>
      <c r="I11" s="7" t="s">
        <v>44</v>
      </c>
      <c r="J11" s="7" t="s">
        <v>41</v>
      </c>
    </row>
    <row r="12" customFormat="false" ht="15" hidden="false" customHeight="false" outlineLevel="0" collapsed="false">
      <c r="A12" s="5" t="n">
        <v>11</v>
      </c>
      <c r="B12" s="5" t="s">
        <v>27</v>
      </c>
      <c r="C12" s="5" t="s">
        <v>58</v>
      </c>
      <c r="D12" s="5" t="s">
        <v>59</v>
      </c>
      <c r="E12" s="5" t="s">
        <v>60</v>
      </c>
      <c r="F12" s="5" t="s">
        <v>37</v>
      </c>
      <c r="G12" s="5" t="s">
        <v>51</v>
      </c>
      <c r="H12" s="5" t="s">
        <v>48</v>
      </c>
      <c r="I12" s="5" t="s">
        <v>61</v>
      </c>
      <c r="J12" s="5" t="s">
        <v>41</v>
      </c>
    </row>
    <row r="13" customFormat="false" ht="15" hidden="false" customHeight="false" outlineLevel="0" collapsed="false">
      <c r="A13" s="7" t="n">
        <v>12</v>
      </c>
      <c r="B13" s="7" t="s">
        <v>62</v>
      </c>
      <c r="C13" s="7" t="s">
        <v>28</v>
      </c>
      <c r="D13" s="7" t="s">
        <v>29</v>
      </c>
      <c r="E13" s="7" t="s">
        <v>30</v>
      </c>
      <c r="F13" s="7" t="s">
        <v>31</v>
      </c>
      <c r="G13" s="7" t="s">
        <v>31</v>
      </c>
      <c r="H13" s="7" t="s">
        <v>28</v>
      </c>
      <c r="I13" s="7" t="s">
        <v>32</v>
      </c>
      <c r="J13" s="6" t="s">
        <v>33</v>
      </c>
    </row>
    <row r="14" customFormat="false" ht="15" hidden="false" customHeight="false" outlineLevel="0" collapsed="false">
      <c r="A14" s="5" t="n">
        <v>13</v>
      </c>
      <c r="B14" s="5" t="s">
        <v>62</v>
      </c>
      <c r="C14" s="5" t="s">
        <v>34</v>
      </c>
      <c r="D14" s="5" t="s">
        <v>63</v>
      </c>
      <c r="E14" s="5" t="s">
        <v>36</v>
      </c>
      <c r="F14" s="5" t="s">
        <v>38</v>
      </c>
      <c r="G14" s="5" t="s">
        <v>51</v>
      </c>
      <c r="H14" s="5" t="s">
        <v>34</v>
      </c>
      <c r="I14" s="5" t="s">
        <v>32</v>
      </c>
      <c r="J14" s="5" t="s">
        <v>41</v>
      </c>
    </row>
    <row r="15" customFormat="false" ht="15" hidden="false" customHeight="false" outlineLevel="0" collapsed="false">
      <c r="A15" s="7" t="n">
        <v>14</v>
      </c>
      <c r="B15" s="7" t="s">
        <v>62</v>
      </c>
      <c r="C15" s="7" t="s">
        <v>38</v>
      </c>
      <c r="D15" s="7" t="s">
        <v>64</v>
      </c>
      <c r="E15" s="7" t="s">
        <v>43</v>
      </c>
      <c r="F15" s="7" t="s">
        <v>31</v>
      </c>
      <c r="G15" s="7" t="s">
        <v>38</v>
      </c>
      <c r="H15" s="7" t="s">
        <v>65</v>
      </c>
      <c r="I15" s="7" t="s">
        <v>32</v>
      </c>
      <c r="J15" s="7" t="s">
        <v>41</v>
      </c>
    </row>
    <row r="16" customFormat="false" ht="15" hidden="false" customHeight="false" outlineLevel="0" collapsed="false">
      <c r="A16" s="5" t="n">
        <v>15</v>
      </c>
      <c r="B16" s="5" t="s">
        <v>62</v>
      </c>
      <c r="C16" s="5" t="s">
        <v>31</v>
      </c>
      <c r="D16" s="5" t="s">
        <v>66</v>
      </c>
      <c r="E16" s="5" t="s">
        <v>30</v>
      </c>
      <c r="F16" s="5" t="s">
        <v>37</v>
      </c>
      <c r="G16" s="5" t="s">
        <v>48</v>
      </c>
      <c r="H16" s="5" t="s">
        <v>28</v>
      </c>
      <c r="I16" s="5" t="s">
        <v>44</v>
      </c>
      <c r="J16" s="6" t="s">
        <v>33</v>
      </c>
    </row>
    <row r="17" customFormat="false" ht="15" hidden="false" customHeight="false" outlineLevel="0" collapsed="false">
      <c r="A17" s="7" t="n">
        <v>16</v>
      </c>
      <c r="B17" s="7" t="s">
        <v>62</v>
      </c>
      <c r="C17" s="7" t="s">
        <v>37</v>
      </c>
      <c r="D17" s="7" t="s">
        <v>67</v>
      </c>
      <c r="E17" s="7" t="s">
        <v>53</v>
      </c>
      <c r="F17" s="7" t="s">
        <v>37</v>
      </c>
      <c r="G17" s="7" t="s">
        <v>31</v>
      </c>
      <c r="H17" s="7" t="s">
        <v>28</v>
      </c>
      <c r="I17" s="7" t="s">
        <v>61</v>
      </c>
      <c r="J17" s="6" t="s">
        <v>33</v>
      </c>
    </row>
    <row r="18" customFormat="false" ht="15" hidden="false" customHeight="false" outlineLevel="0" collapsed="false">
      <c r="A18" s="5" t="n">
        <v>17</v>
      </c>
      <c r="B18" s="5" t="s">
        <v>62</v>
      </c>
      <c r="C18" s="5" t="s">
        <v>46</v>
      </c>
      <c r="D18" s="5" t="s">
        <v>68</v>
      </c>
      <c r="E18" s="5" t="s">
        <v>53</v>
      </c>
      <c r="F18" s="5" t="s">
        <v>37</v>
      </c>
      <c r="G18" s="5" t="s">
        <v>58</v>
      </c>
      <c r="H18" s="5" t="s">
        <v>28</v>
      </c>
      <c r="I18" s="5" t="s">
        <v>32</v>
      </c>
      <c r="J18" s="6" t="s">
        <v>33</v>
      </c>
    </row>
    <row r="19" customFormat="false" ht="15" hidden="false" customHeight="false" outlineLevel="0" collapsed="false">
      <c r="A19" s="7" t="n">
        <v>18</v>
      </c>
      <c r="B19" s="7" t="s">
        <v>62</v>
      </c>
      <c r="C19" s="7" t="s">
        <v>48</v>
      </c>
      <c r="D19" s="7" t="s">
        <v>69</v>
      </c>
      <c r="E19" s="7" t="s">
        <v>30</v>
      </c>
      <c r="F19" s="7" t="s">
        <v>31</v>
      </c>
      <c r="G19" s="7" t="s">
        <v>37</v>
      </c>
      <c r="H19" s="7" t="s">
        <v>40</v>
      </c>
      <c r="I19" s="7" t="s">
        <v>44</v>
      </c>
      <c r="J19" s="7" t="s">
        <v>41</v>
      </c>
    </row>
    <row r="20" customFormat="false" ht="15" hidden="false" customHeight="false" outlineLevel="0" collapsed="false">
      <c r="A20" s="5" t="n">
        <v>19</v>
      </c>
      <c r="B20" s="5" t="s">
        <v>62</v>
      </c>
      <c r="C20" s="5" t="s">
        <v>51</v>
      </c>
      <c r="D20" s="5" t="s">
        <v>70</v>
      </c>
      <c r="E20" s="5" t="s">
        <v>71</v>
      </c>
      <c r="F20" s="5" t="s">
        <v>54</v>
      </c>
      <c r="G20" s="5" t="s">
        <v>48</v>
      </c>
      <c r="H20" s="5" t="s">
        <v>28</v>
      </c>
      <c r="I20" s="5" t="s">
        <v>61</v>
      </c>
      <c r="J20" s="6" t="s">
        <v>33</v>
      </c>
    </row>
    <row r="21" customFormat="false" ht="15" hidden="false" customHeight="false" outlineLevel="0" collapsed="false">
      <c r="A21" s="7" t="n">
        <v>20</v>
      </c>
      <c r="B21" s="7" t="s">
        <v>62</v>
      </c>
      <c r="C21" s="7" t="s">
        <v>54</v>
      </c>
      <c r="D21" s="7" t="s">
        <v>72</v>
      </c>
      <c r="E21" s="7" t="s">
        <v>73</v>
      </c>
      <c r="F21" s="7" t="s">
        <v>51</v>
      </c>
      <c r="G21" s="7" t="s">
        <v>34</v>
      </c>
      <c r="H21" s="7" t="s">
        <v>28</v>
      </c>
      <c r="I21" s="7" t="s">
        <v>32</v>
      </c>
      <c r="J21" s="6" t="s">
        <v>33</v>
      </c>
    </row>
    <row r="22" customFormat="false" ht="15" hidden="false" customHeight="false" outlineLevel="0" collapsed="false">
      <c r="A22" s="5" t="n">
        <v>21</v>
      </c>
      <c r="B22" s="5" t="s">
        <v>62</v>
      </c>
      <c r="C22" s="5" t="s">
        <v>56</v>
      </c>
      <c r="D22" s="5" t="s">
        <v>74</v>
      </c>
      <c r="E22" s="5" t="s">
        <v>73</v>
      </c>
      <c r="F22" s="5" t="s">
        <v>48</v>
      </c>
      <c r="G22" s="5" t="s">
        <v>51</v>
      </c>
      <c r="H22" s="5" t="s">
        <v>28</v>
      </c>
      <c r="I22" s="5" t="s">
        <v>44</v>
      </c>
      <c r="J22" s="6" t="s">
        <v>33</v>
      </c>
    </row>
    <row r="23" customFormat="false" ht="15" hidden="false" customHeight="false" outlineLevel="0" collapsed="false">
      <c r="A23" s="7" t="n">
        <v>22</v>
      </c>
      <c r="B23" s="7" t="s">
        <v>62</v>
      </c>
      <c r="C23" s="7" t="s">
        <v>58</v>
      </c>
      <c r="D23" s="7" t="s">
        <v>75</v>
      </c>
      <c r="E23" s="7" t="s">
        <v>73</v>
      </c>
      <c r="F23" s="7" t="s">
        <v>46</v>
      </c>
      <c r="G23" s="7" t="s">
        <v>51</v>
      </c>
      <c r="H23" s="7" t="s">
        <v>28</v>
      </c>
      <c r="I23" s="7" t="s">
        <v>61</v>
      </c>
      <c r="J23" s="6" t="s">
        <v>33</v>
      </c>
    </row>
    <row r="24" customFormat="false" ht="15" hidden="false" customHeight="false" outlineLevel="0" collapsed="false">
      <c r="A24" s="5" t="n">
        <v>23</v>
      </c>
      <c r="B24" s="5" t="s">
        <v>76</v>
      </c>
      <c r="C24" s="5" t="s">
        <v>28</v>
      </c>
      <c r="D24" s="5" t="s">
        <v>29</v>
      </c>
      <c r="E24" s="5" t="s">
        <v>30</v>
      </c>
      <c r="F24" s="5" t="s">
        <v>31</v>
      </c>
      <c r="G24" s="5" t="s">
        <v>31</v>
      </c>
      <c r="H24" s="5" t="s">
        <v>28</v>
      </c>
      <c r="I24" s="5" t="s">
        <v>32</v>
      </c>
      <c r="J24" s="6" t="s">
        <v>33</v>
      </c>
    </row>
    <row r="25" customFormat="false" ht="15" hidden="false" customHeight="false" outlineLevel="0" collapsed="false">
      <c r="A25" s="7" t="n">
        <v>24</v>
      </c>
      <c r="B25" s="7" t="s">
        <v>76</v>
      </c>
      <c r="C25" s="7" t="s">
        <v>34</v>
      </c>
      <c r="D25" s="7" t="s">
        <v>77</v>
      </c>
      <c r="E25" s="7" t="s">
        <v>36</v>
      </c>
      <c r="F25" s="7" t="s">
        <v>48</v>
      </c>
      <c r="G25" s="7" t="s">
        <v>31</v>
      </c>
      <c r="H25" s="7" t="s">
        <v>38</v>
      </c>
      <c r="I25" s="7" t="s">
        <v>32</v>
      </c>
      <c r="J25" s="7" t="s">
        <v>41</v>
      </c>
    </row>
    <row r="26" customFormat="false" ht="15" hidden="false" customHeight="false" outlineLevel="0" collapsed="false">
      <c r="A26" s="5" t="n">
        <v>25</v>
      </c>
      <c r="B26" s="5" t="s">
        <v>76</v>
      </c>
      <c r="C26" s="5" t="s">
        <v>38</v>
      </c>
      <c r="D26" s="5" t="s">
        <v>78</v>
      </c>
      <c r="E26" s="5" t="s">
        <v>30</v>
      </c>
      <c r="F26" s="5" t="s">
        <v>48</v>
      </c>
      <c r="G26" s="5" t="s">
        <v>58</v>
      </c>
      <c r="H26" s="5" t="s">
        <v>34</v>
      </c>
      <c r="I26" s="5" t="s">
        <v>32</v>
      </c>
      <c r="J26" s="5" t="s">
        <v>41</v>
      </c>
    </row>
    <row r="27" customFormat="false" ht="15" hidden="false" customHeight="false" outlineLevel="0" collapsed="false">
      <c r="A27" s="7" t="n">
        <v>26</v>
      </c>
      <c r="B27" s="7" t="s">
        <v>76</v>
      </c>
      <c r="C27" s="7" t="s">
        <v>31</v>
      </c>
      <c r="D27" s="7" t="s">
        <v>79</v>
      </c>
      <c r="E27" s="7" t="s">
        <v>80</v>
      </c>
      <c r="F27" s="7" t="s">
        <v>37</v>
      </c>
      <c r="G27" s="7" t="s">
        <v>54</v>
      </c>
      <c r="H27" s="7" t="s">
        <v>28</v>
      </c>
      <c r="I27" s="7" t="s">
        <v>44</v>
      </c>
      <c r="J27" s="6" t="s">
        <v>33</v>
      </c>
    </row>
    <row r="28" customFormat="false" ht="15" hidden="false" customHeight="false" outlineLevel="0" collapsed="false">
      <c r="A28" s="5" t="n">
        <v>27</v>
      </c>
      <c r="B28" s="5" t="s">
        <v>76</v>
      </c>
      <c r="C28" s="5" t="s">
        <v>37</v>
      </c>
      <c r="D28" s="5" t="s">
        <v>81</v>
      </c>
      <c r="E28" s="5" t="s">
        <v>53</v>
      </c>
      <c r="F28" s="5" t="s">
        <v>37</v>
      </c>
      <c r="G28" s="5" t="s">
        <v>58</v>
      </c>
      <c r="H28" s="5" t="s">
        <v>40</v>
      </c>
      <c r="I28" s="5" t="s">
        <v>32</v>
      </c>
      <c r="J28" s="5" t="s">
        <v>41</v>
      </c>
    </row>
    <row r="29" customFormat="false" ht="15" hidden="false" customHeight="false" outlineLevel="0" collapsed="false">
      <c r="A29" s="7" t="n">
        <v>28</v>
      </c>
      <c r="B29" s="7" t="s">
        <v>76</v>
      </c>
      <c r="C29" s="7" t="s">
        <v>46</v>
      </c>
      <c r="D29" s="7" t="s">
        <v>82</v>
      </c>
      <c r="E29" s="7" t="s">
        <v>30</v>
      </c>
      <c r="F29" s="7" t="s">
        <v>37</v>
      </c>
      <c r="G29" s="7" t="s">
        <v>37</v>
      </c>
      <c r="H29" s="7" t="s">
        <v>28</v>
      </c>
      <c r="I29" s="7" t="s">
        <v>32</v>
      </c>
      <c r="J29" s="6" t="s">
        <v>33</v>
      </c>
    </row>
    <row r="30" customFormat="false" ht="15" hidden="false" customHeight="false" outlineLevel="0" collapsed="false">
      <c r="A30" s="5" t="n">
        <v>29</v>
      </c>
      <c r="B30" s="5" t="s">
        <v>76</v>
      </c>
      <c r="C30" s="5" t="s">
        <v>48</v>
      </c>
      <c r="D30" s="5" t="s">
        <v>83</v>
      </c>
      <c r="E30" s="5" t="s">
        <v>53</v>
      </c>
      <c r="F30" s="5" t="s">
        <v>46</v>
      </c>
      <c r="G30" s="5" t="s">
        <v>31</v>
      </c>
      <c r="H30" s="5" t="s">
        <v>28</v>
      </c>
      <c r="I30" s="5" t="s">
        <v>32</v>
      </c>
      <c r="J30" s="6" t="s">
        <v>33</v>
      </c>
    </row>
    <row r="31" customFormat="false" ht="15" hidden="false" customHeight="false" outlineLevel="0" collapsed="false">
      <c r="A31" s="7" t="n">
        <v>30</v>
      </c>
      <c r="B31" s="7" t="s">
        <v>76</v>
      </c>
      <c r="C31" s="7" t="s">
        <v>51</v>
      </c>
      <c r="D31" s="7" t="s">
        <v>84</v>
      </c>
      <c r="E31" s="7" t="s">
        <v>85</v>
      </c>
      <c r="F31" s="7" t="s">
        <v>37</v>
      </c>
      <c r="G31" s="7" t="s">
        <v>34</v>
      </c>
      <c r="H31" s="7" t="s">
        <v>28</v>
      </c>
      <c r="I31" s="7" t="s">
        <v>32</v>
      </c>
      <c r="J31" s="6" t="s">
        <v>33</v>
      </c>
    </row>
    <row r="32" customFormat="false" ht="15" hidden="false" customHeight="false" outlineLevel="0" collapsed="false">
      <c r="A32" s="5" t="n">
        <v>31</v>
      </c>
      <c r="B32" s="5" t="s">
        <v>76</v>
      </c>
      <c r="C32" s="5" t="s">
        <v>54</v>
      </c>
      <c r="D32" s="5" t="s">
        <v>86</v>
      </c>
      <c r="E32" s="5" t="s">
        <v>85</v>
      </c>
      <c r="F32" s="5" t="s">
        <v>37</v>
      </c>
      <c r="G32" s="5" t="s">
        <v>46</v>
      </c>
      <c r="H32" s="5" t="s">
        <v>54</v>
      </c>
      <c r="I32" s="5" t="s">
        <v>32</v>
      </c>
      <c r="J32" s="5" t="s">
        <v>41</v>
      </c>
    </row>
    <row r="33" customFormat="false" ht="15" hidden="false" customHeight="false" outlineLevel="0" collapsed="false">
      <c r="A33" s="7" t="n">
        <v>32</v>
      </c>
      <c r="B33" s="7" t="s">
        <v>76</v>
      </c>
      <c r="C33" s="7" t="s">
        <v>56</v>
      </c>
      <c r="D33" s="7" t="s">
        <v>87</v>
      </c>
      <c r="E33" s="7" t="s">
        <v>88</v>
      </c>
      <c r="F33" s="7" t="s">
        <v>56</v>
      </c>
      <c r="G33" s="7" t="s">
        <v>89</v>
      </c>
      <c r="H33" s="7" t="s">
        <v>28</v>
      </c>
      <c r="I33" s="7" t="s">
        <v>44</v>
      </c>
      <c r="J33" s="6" t="s">
        <v>33</v>
      </c>
    </row>
    <row r="34" customFormat="false" ht="15" hidden="false" customHeight="false" outlineLevel="0" collapsed="false">
      <c r="A34" s="5" t="n">
        <v>33</v>
      </c>
      <c r="B34" s="5" t="s">
        <v>76</v>
      </c>
      <c r="C34" s="5" t="s">
        <v>58</v>
      </c>
      <c r="D34" s="5" t="s">
        <v>90</v>
      </c>
      <c r="E34" s="5" t="s">
        <v>53</v>
      </c>
      <c r="F34" s="5" t="s">
        <v>46</v>
      </c>
      <c r="G34" s="5" t="s">
        <v>54</v>
      </c>
      <c r="H34" s="5" t="s">
        <v>40</v>
      </c>
      <c r="I34" s="5" t="s">
        <v>61</v>
      </c>
      <c r="J34" s="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6"/>
    <col collapsed="false" customWidth="true" hidden="false" outlineLevel="0" max="13" min="13" style="0" width="30"/>
  </cols>
  <sheetData>
    <row r="1" customFormat="false" ht="15" hidden="false" customHeight="false" outlineLevel="0" collapsed="false">
      <c r="A1" s="2" t="s">
        <v>91</v>
      </c>
      <c r="B1" s="8" t="s">
        <v>92</v>
      </c>
      <c r="C1" s="8"/>
      <c r="D1" s="8"/>
    </row>
    <row r="3" customFormat="false" ht="23.85" hidden="false" customHeight="false" outlineLevel="0" collapsed="false">
      <c r="A3" s="9" t="s">
        <v>17</v>
      </c>
      <c r="B3" s="9" t="s">
        <v>93</v>
      </c>
      <c r="C3" s="9" t="s">
        <v>19</v>
      </c>
      <c r="D3" s="9" t="s">
        <v>94</v>
      </c>
      <c r="E3" s="9" t="s">
        <v>95</v>
      </c>
      <c r="F3" s="9" t="s">
        <v>96</v>
      </c>
      <c r="G3" s="9" t="s">
        <v>97</v>
      </c>
      <c r="H3" s="9" t="s">
        <v>98</v>
      </c>
      <c r="I3" s="9" t="s">
        <v>99</v>
      </c>
      <c r="J3" s="9" t="s">
        <v>100</v>
      </c>
      <c r="K3" s="9" t="s">
        <v>101</v>
      </c>
      <c r="L3" s="9" t="s">
        <v>102</v>
      </c>
      <c r="M3" s="9" t="s">
        <v>103</v>
      </c>
    </row>
    <row r="4" customFormat="false" ht="15" hidden="false" customHeight="false" outlineLevel="0" collapsed="false">
      <c r="A4" s="5" t="n">
        <v>1</v>
      </c>
      <c r="B4" s="5" t="s">
        <v>27</v>
      </c>
      <c r="C4" s="5" t="s">
        <v>28</v>
      </c>
      <c r="D4" s="5" t="s">
        <v>29</v>
      </c>
      <c r="E4" s="5"/>
      <c r="F4" s="5"/>
      <c r="G4" s="5"/>
      <c r="H4" s="5"/>
      <c r="I4" s="5"/>
      <c r="J4" s="5"/>
      <c r="K4" s="5"/>
      <c r="L4" s="5"/>
      <c r="M4" s="5"/>
    </row>
    <row r="5" customFormat="false" ht="15" hidden="false" customHeight="false" outlineLevel="0" collapsed="false">
      <c r="A5" s="7" t="n">
        <v>2</v>
      </c>
      <c r="B5" s="7" t="s">
        <v>27</v>
      </c>
      <c r="C5" s="7" t="s">
        <v>34</v>
      </c>
      <c r="D5" s="7" t="s">
        <v>35</v>
      </c>
      <c r="E5" s="7"/>
      <c r="F5" s="7"/>
      <c r="G5" s="7"/>
      <c r="H5" s="7"/>
      <c r="I5" s="7"/>
      <c r="J5" s="7"/>
      <c r="K5" s="7"/>
      <c r="L5" s="7"/>
      <c r="M5" s="7"/>
    </row>
    <row r="6" customFormat="false" ht="15" hidden="false" customHeight="false" outlineLevel="0" collapsed="false">
      <c r="A6" s="5" t="n">
        <v>3</v>
      </c>
      <c r="B6" s="5" t="s">
        <v>27</v>
      </c>
      <c r="C6" s="5" t="s">
        <v>38</v>
      </c>
      <c r="D6" s="5" t="s">
        <v>39</v>
      </c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false" outlineLevel="0" collapsed="false">
      <c r="A7" s="7" t="n">
        <v>4</v>
      </c>
      <c r="B7" s="7" t="s">
        <v>27</v>
      </c>
      <c r="C7" s="7" t="s">
        <v>31</v>
      </c>
      <c r="D7" s="7" t="s">
        <v>42</v>
      </c>
      <c r="E7" s="7"/>
      <c r="F7" s="7"/>
      <c r="G7" s="7"/>
      <c r="H7" s="7"/>
      <c r="I7" s="7"/>
      <c r="J7" s="7"/>
      <c r="K7" s="7"/>
      <c r="L7" s="7"/>
      <c r="M7" s="7"/>
    </row>
    <row r="8" customFormat="false" ht="15" hidden="false" customHeight="false" outlineLevel="0" collapsed="false">
      <c r="A8" s="5" t="n">
        <v>5</v>
      </c>
      <c r="B8" s="5" t="s">
        <v>27</v>
      </c>
      <c r="C8" s="5" t="s">
        <v>37</v>
      </c>
      <c r="D8" s="5" t="s">
        <v>45</v>
      </c>
      <c r="E8" s="5"/>
      <c r="F8" s="5"/>
      <c r="G8" s="5"/>
      <c r="H8" s="5"/>
      <c r="I8" s="5"/>
      <c r="J8" s="5"/>
      <c r="K8" s="5"/>
      <c r="L8" s="5"/>
      <c r="M8" s="5"/>
    </row>
    <row r="9" customFormat="false" ht="15" hidden="false" customHeight="false" outlineLevel="0" collapsed="false">
      <c r="A9" s="7" t="n">
        <v>6</v>
      </c>
      <c r="B9" s="7" t="s">
        <v>27</v>
      </c>
      <c r="C9" s="7" t="s">
        <v>46</v>
      </c>
      <c r="D9" s="7" t="s">
        <v>47</v>
      </c>
      <c r="E9" s="7"/>
      <c r="F9" s="7"/>
      <c r="G9" s="7"/>
      <c r="H9" s="7"/>
      <c r="I9" s="7"/>
      <c r="J9" s="7"/>
      <c r="K9" s="7"/>
      <c r="L9" s="7"/>
      <c r="M9" s="7"/>
    </row>
    <row r="10" customFormat="false" ht="15" hidden="false" customHeight="false" outlineLevel="0" collapsed="false">
      <c r="A10" s="5" t="n">
        <v>7</v>
      </c>
      <c r="B10" s="5" t="s">
        <v>27</v>
      </c>
      <c r="C10" s="5" t="s">
        <v>48</v>
      </c>
      <c r="D10" s="5" t="s">
        <v>49</v>
      </c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" hidden="false" customHeight="false" outlineLevel="0" collapsed="false">
      <c r="A11" s="7" t="n">
        <v>8</v>
      </c>
      <c r="B11" s="7" t="s">
        <v>27</v>
      </c>
      <c r="C11" s="7" t="s">
        <v>51</v>
      </c>
      <c r="D11" s="7" t="s">
        <v>52</v>
      </c>
      <c r="E11" s="7"/>
      <c r="F11" s="7"/>
      <c r="G11" s="7"/>
      <c r="H11" s="7"/>
      <c r="I11" s="7"/>
      <c r="J11" s="7"/>
      <c r="K11" s="7"/>
      <c r="L11" s="7"/>
      <c r="M11" s="7"/>
    </row>
    <row r="12" customFormat="false" ht="15" hidden="false" customHeight="false" outlineLevel="0" collapsed="false">
      <c r="A12" s="5" t="n">
        <v>9</v>
      </c>
      <c r="B12" s="5" t="s">
        <v>27</v>
      </c>
      <c r="C12" s="5" t="s">
        <v>54</v>
      </c>
      <c r="D12" s="5" t="s">
        <v>55</v>
      </c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" hidden="false" customHeight="false" outlineLevel="0" collapsed="false">
      <c r="A13" s="7" t="n">
        <v>10</v>
      </c>
      <c r="B13" s="7" t="s">
        <v>27</v>
      </c>
      <c r="C13" s="7" t="s">
        <v>56</v>
      </c>
      <c r="D13" s="7" t="s">
        <v>57</v>
      </c>
      <c r="E13" s="7"/>
      <c r="F13" s="7"/>
      <c r="G13" s="7"/>
      <c r="H13" s="7"/>
      <c r="I13" s="7"/>
      <c r="J13" s="7"/>
      <c r="K13" s="7"/>
      <c r="L13" s="7"/>
      <c r="M13" s="7"/>
    </row>
    <row r="14" customFormat="false" ht="15" hidden="false" customHeight="false" outlineLevel="0" collapsed="false">
      <c r="A14" s="5" t="n">
        <v>11</v>
      </c>
      <c r="B14" s="5" t="s">
        <v>27</v>
      </c>
      <c r="C14" s="5" t="s">
        <v>58</v>
      </c>
      <c r="D14" s="5" t="s">
        <v>59</v>
      </c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A15" s="7" t="n">
        <v>12</v>
      </c>
      <c r="B15" s="7" t="s">
        <v>62</v>
      </c>
      <c r="C15" s="7" t="s">
        <v>28</v>
      </c>
      <c r="D15" s="7" t="s">
        <v>29</v>
      </c>
      <c r="E15" s="7"/>
      <c r="F15" s="7"/>
      <c r="G15" s="7"/>
      <c r="H15" s="7"/>
      <c r="I15" s="7"/>
      <c r="J15" s="7"/>
      <c r="K15" s="7"/>
      <c r="L15" s="7"/>
      <c r="M15" s="7"/>
    </row>
    <row r="16" customFormat="false" ht="15" hidden="false" customHeight="false" outlineLevel="0" collapsed="false">
      <c r="A16" s="5" t="n">
        <v>13</v>
      </c>
      <c r="B16" s="5" t="s">
        <v>62</v>
      </c>
      <c r="C16" s="5" t="s">
        <v>34</v>
      </c>
      <c r="D16" s="5" t="s">
        <v>63</v>
      </c>
      <c r="E16" s="5"/>
      <c r="F16" s="5"/>
      <c r="G16" s="5"/>
      <c r="H16" s="5"/>
      <c r="I16" s="5"/>
      <c r="J16" s="5"/>
      <c r="K16" s="5"/>
      <c r="L16" s="5"/>
      <c r="M16" s="5"/>
    </row>
    <row r="17" customFormat="false" ht="15" hidden="false" customHeight="false" outlineLevel="0" collapsed="false">
      <c r="A17" s="7" t="n">
        <v>14</v>
      </c>
      <c r="B17" s="7" t="s">
        <v>62</v>
      </c>
      <c r="C17" s="7" t="s">
        <v>38</v>
      </c>
      <c r="D17" s="7" t="s">
        <v>64</v>
      </c>
      <c r="E17" s="7"/>
      <c r="F17" s="7"/>
      <c r="G17" s="7"/>
      <c r="H17" s="7"/>
      <c r="I17" s="7"/>
      <c r="J17" s="7"/>
      <c r="K17" s="7"/>
      <c r="L17" s="7"/>
      <c r="M17" s="7"/>
    </row>
    <row r="18" customFormat="false" ht="15" hidden="false" customHeight="false" outlineLevel="0" collapsed="false">
      <c r="A18" s="5" t="n">
        <v>15</v>
      </c>
      <c r="B18" s="5" t="s">
        <v>62</v>
      </c>
      <c r="C18" s="5" t="s">
        <v>31</v>
      </c>
      <c r="D18" s="5" t="s">
        <v>66</v>
      </c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A19" s="7" t="n">
        <v>16</v>
      </c>
      <c r="B19" s="7" t="s">
        <v>62</v>
      </c>
      <c r="C19" s="7" t="s">
        <v>37</v>
      </c>
      <c r="D19" s="7" t="s">
        <v>67</v>
      </c>
      <c r="E19" s="7"/>
      <c r="F19" s="7"/>
      <c r="G19" s="7"/>
      <c r="H19" s="7"/>
      <c r="I19" s="7"/>
      <c r="J19" s="7"/>
      <c r="K19" s="7"/>
      <c r="L19" s="7"/>
      <c r="M19" s="7"/>
    </row>
    <row r="20" customFormat="false" ht="15" hidden="false" customHeight="false" outlineLevel="0" collapsed="false">
      <c r="A20" s="5" t="n">
        <v>17</v>
      </c>
      <c r="B20" s="5" t="s">
        <v>62</v>
      </c>
      <c r="C20" s="5" t="s">
        <v>46</v>
      </c>
      <c r="D20" s="5" t="s">
        <v>68</v>
      </c>
      <c r="E20" s="5"/>
      <c r="F20" s="5"/>
      <c r="G20" s="5"/>
      <c r="H20" s="5"/>
      <c r="I20" s="5"/>
      <c r="J20" s="5"/>
      <c r="K20" s="5"/>
      <c r="L20" s="5"/>
      <c r="M20" s="5"/>
    </row>
    <row r="21" customFormat="false" ht="15" hidden="false" customHeight="false" outlineLevel="0" collapsed="false">
      <c r="A21" s="7" t="n">
        <v>18</v>
      </c>
      <c r="B21" s="7" t="s">
        <v>62</v>
      </c>
      <c r="C21" s="7" t="s">
        <v>48</v>
      </c>
      <c r="D21" s="7" t="s">
        <v>69</v>
      </c>
      <c r="E21" s="7"/>
      <c r="F21" s="7"/>
      <c r="G21" s="7"/>
      <c r="H21" s="7"/>
      <c r="I21" s="7"/>
      <c r="J21" s="7"/>
      <c r="K21" s="7"/>
      <c r="L21" s="7"/>
      <c r="M21" s="7"/>
    </row>
    <row r="22" customFormat="false" ht="15" hidden="false" customHeight="false" outlineLevel="0" collapsed="false">
      <c r="A22" s="5" t="n">
        <v>19</v>
      </c>
      <c r="B22" s="5" t="s">
        <v>62</v>
      </c>
      <c r="C22" s="5" t="s">
        <v>51</v>
      </c>
      <c r="D22" s="5" t="s">
        <v>70</v>
      </c>
      <c r="E22" s="5"/>
      <c r="F22" s="5"/>
      <c r="G22" s="5"/>
      <c r="H22" s="5"/>
      <c r="I22" s="5"/>
      <c r="J22" s="5"/>
      <c r="K22" s="5"/>
      <c r="L22" s="5"/>
      <c r="M22" s="5"/>
    </row>
    <row r="23" customFormat="false" ht="15" hidden="false" customHeight="false" outlineLevel="0" collapsed="false">
      <c r="A23" s="7" t="n">
        <v>20</v>
      </c>
      <c r="B23" s="7" t="s">
        <v>62</v>
      </c>
      <c r="C23" s="7" t="s">
        <v>54</v>
      </c>
      <c r="D23" s="7" t="s">
        <v>72</v>
      </c>
      <c r="E23" s="7"/>
      <c r="F23" s="7"/>
      <c r="G23" s="7"/>
      <c r="H23" s="7"/>
      <c r="I23" s="7"/>
      <c r="J23" s="7"/>
      <c r="K23" s="7"/>
      <c r="L23" s="7"/>
      <c r="M23" s="7"/>
    </row>
    <row r="24" customFormat="false" ht="15" hidden="false" customHeight="false" outlineLevel="0" collapsed="false">
      <c r="A24" s="5" t="n">
        <v>21</v>
      </c>
      <c r="B24" s="5" t="s">
        <v>62</v>
      </c>
      <c r="C24" s="5" t="s">
        <v>56</v>
      </c>
      <c r="D24" s="5" t="s">
        <v>74</v>
      </c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" hidden="false" customHeight="false" outlineLevel="0" collapsed="false">
      <c r="A25" s="7" t="n">
        <v>22</v>
      </c>
      <c r="B25" s="7" t="s">
        <v>62</v>
      </c>
      <c r="C25" s="7" t="s">
        <v>58</v>
      </c>
      <c r="D25" s="7" t="s">
        <v>75</v>
      </c>
      <c r="E25" s="7"/>
      <c r="F25" s="7"/>
      <c r="G25" s="7"/>
      <c r="H25" s="7"/>
      <c r="I25" s="7"/>
      <c r="J25" s="7"/>
      <c r="K25" s="7"/>
      <c r="L25" s="7"/>
      <c r="M25" s="7"/>
    </row>
    <row r="26" customFormat="false" ht="15" hidden="false" customHeight="false" outlineLevel="0" collapsed="false">
      <c r="A26" s="5" t="n">
        <v>23</v>
      </c>
      <c r="B26" s="5" t="s">
        <v>76</v>
      </c>
      <c r="C26" s="5" t="s">
        <v>28</v>
      </c>
      <c r="D26" s="5" t="s">
        <v>29</v>
      </c>
      <c r="E26" s="5"/>
      <c r="F26" s="5"/>
      <c r="G26" s="5"/>
      <c r="H26" s="5"/>
      <c r="I26" s="5"/>
      <c r="J26" s="5"/>
      <c r="K26" s="5"/>
      <c r="L26" s="5"/>
      <c r="M26" s="5"/>
    </row>
    <row r="27" customFormat="false" ht="15" hidden="false" customHeight="false" outlineLevel="0" collapsed="false">
      <c r="A27" s="7" t="n">
        <v>24</v>
      </c>
      <c r="B27" s="7" t="s">
        <v>76</v>
      </c>
      <c r="C27" s="7" t="s">
        <v>34</v>
      </c>
      <c r="D27" s="7" t="s">
        <v>77</v>
      </c>
      <c r="E27" s="7"/>
      <c r="F27" s="7"/>
      <c r="G27" s="7"/>
      <c r="H27" s="7"/>
      <c r="I27" s="7"/>
      <c r="J27" s="7"/>
      <c r="K27" s="7"/>
      <c r="L27" s="7"/>
      <c r="M27" s="7"/>
    </row>
    <row r="28" customFormat="false" ht="15" hidden="false" customHeight="false" outlineLevel="0" collapsed="false">
      <c r="A28" s="5" t="n">
        <v>25</v>
      </c>
      <c r="B28" s="5" t="s">
        <v>76</v>
      </c>
      <c r="C28" s="5" t="s">
        <v>38</v>
      </c>
      <c r="D28" s="5" t="s">
        <v>78</v>
      </c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5" hidden="false" customHeight="false" outlineLevel="0" collapsed="false">
      <c r="A29" s="7" t="n">
        <v>26</v>
      </c>
      <c r="B29" s="7" t="s">
        <v>76</v>
      </c>
      <c r="C29" s="7" t="s">
        <v>31</v>
      </c>
      <c r="D29" s="7" t="s">
        <v>79</v>
      </c>
      <c r="E29" s="7"/>
      <c r="F29" s="7"/>
      <c r="G29" s="7"/>
      <c r="H29" s="7"/>
      <c r="I29" s="7"/>
      <c r="J29" s="7"/>
      <c r="K29" s="7"/>
      <c r="L29" s="7"/>
      <c r="M29" s="7"/>
    </row>
    <row r="30" customFormat="false" ht="15" hidden="false" customHeight="false" outlineLevel="0" collapsed="false">
      <c r="A30" s="5" t="n">
        <v>27</v>
      </c>
      <c r="B30" s="5" t="s">
        <v>76</v>
      </c>
      <c r="C30" s="5" t="s">
        <v>37</v>
      </c>
      <c r="D30" s="5" t="s">
        <v>81</v>
      </c>
      <c r="E30" s="5"/>
      <c r="F30" s="5"/>
      <c r="G30" s="5"/>
      <c r="H30" s="5"/>
      <c r="I30" s="5"/>
      <c r="J30" s="5"/>
      <c r="K30" s="5"/>
      <c r="L30" s="5"/>
      <c r="M30" s="5"/>
    </row>
    <row r="31" customFormat="false" ht="15" hidden="false" customHeight="false" outlineLevel="0" collapsed="false">
      <c r="A31" s="7" t="n">
        <v>28</v>
      </c>
      <c r="B31" s="7" t="s">
        <v>76</v>
      </c>
      <c r="C31" s="7" t="s">
        <v>46</v>
      </c>
      <c r="D31" s="7" t="s">
        <v>82</v>
      </c>
      <c r="E31" s="7"/>
      <c r="F31" s="7"/>
      <c r="G31" s="7"/>
      <c r="H31" s="7"/>
      <c r="I31" s="7"/>
      <c r="J31" s="7"/>
      <c r="K31" s="7"/>
      <c r="L31" s="7"/>
      <c r="M31" s="7"/>
    </row>
    <row r="32" customFormat="false" ht="15" hidden="false" customHeight="false" outlineLevel="0" collapsed="false">
      <c r="A32" s="5" t="n">
        <v>29</v>
      </c>
      <c r="B32" s="5" t="s">
        <v>76</v>
      </c>
      <c r="C32" s="5" t="s">
        <v>48</v>
      </c>
      <c r="D32" s="5" t="s">
        <v>83</v>
      </c>
      <c r="E32" s="5"/>
      <c r="F32" s="5"/>
      <c r="G32" s="5"/>
      <c r="H32" s="5"/>
      <c r="I32" s="5"/>
      <c r="J32" s="5"/>
      <c r="K32" s="5"/>
      <c r="L32" s="5"/>
      <c r="M32" s="5"/>
    </row>
    <row r="33" customFormat="false" ht="15" hidden="false" customHeight="false" outlineLevel="0" collapsed="false">
      <c r="A33" s="7" t="n">
        <v>30</v>
      </c>
      <c r="B33" s="7" t="s">
        <v>76</v>
      </c>
      <c r="C33" s="7" t="s">
        <v>51</v>
      </c>
      <c r="D33" s="7" t="s">
        <v>84</v>
      </c>
      <c r="E33" s="7"/>
      <c r="F33" s="7"/>
      <c r="G33" s="7"/>
      <c r="H33" s="7"/>
      <c r="I33" s="7"/>
      <c r="J33" s="7"/>
      <c r="K33" s="7"/>
      <c r="L33" s="7"/>
      <c r="M33" s="7"/>
    </row>
    <row r="34" customFormat="false" ht="15" hidden="false" customHeight="false" outlineLevel="0" collapsed="false">
      <c r="A34" s="5" t="n">
        <v>31</v>
      </c>
      <c r="B34" s="5" t="s">
        <v>76</v>
      </c>
      <c r="C34" s="5" t="s">
        <v>54</v>
      </c>
      <c r="D34" s="5" t="s">
        <v>86</v>
      </c>
      <c r="E34" s="5"/>
      <c r="F34" s="5"/>
      <c r="G34" s="5"/>
      <c r="H34" s="5"/>
      <c r="I34" s="5"/>
      <c r="J34" s="5"/>
      <c r="K34" s="5"/>
      <c r="L34" s="5"/>
      <c r="M34" s="5"/>
    </row>
    <row r="35" customFormat="false" ht="15" hidden="false" customHeight="false" outlineLevel="0" collapsed="false">
      <c r="A35" s="7" t="n">
        <v>32</v>
      </c>
      <c r="B35" s="7" t="s">
        <v>76</v>
      </c>
      <c r="C35" s="7" t="s">
        <v>56</v>
      </c>
      <c r="D35" s="7" t="s">
        <v>87</v>
      </c>
      <c r="E35" s="7"/>
      <c r="F35" s="7"/>
      <c r="G35" s="7"/>
      <c r="H35" s="7"/>
      <c r="I35" s="7"/>
      <c r="J35" s="7"/>
      <c r="K35" s="7"/>
      <c r="L35" s="7"/>
      <c r="M35" s="7"/>
    </row>
    <row r="36" customFormat="false" ht="15" hidden="false" customHeight="false" outlineLevel="0" collapsed="false">
      <c r="A36" s="5" t="n">
        <v>33</v>
      </c>
      <c r="B36" s="5" t="s">
        <v>76</v>
      </c>
      <c r="C36" s="5" t="s">
        <v>58</v>
      </c>
      <c r="D36" s="5" t="s">
        <v>90</v>
      </c>
      <c r="E36" s="5"/>
      <c r="F36" s="5"/>
      <c r="G36" s="5"/>
      <c r="H36" s="5"/>
      <c r="I36" s="5"/>
      <c r="J36" s="5"/>
      <c r="K36" s="5"/>
      <c r="L36" s="5"/>
      <c r="M36" s="5"/>
    </row>
  </sheetData>
  <mergeCells count="1">
    <mergeCell ref="B1:D1"/>
  </mergeCells>
  <dataValidations count="2">
    <dataValidation allowBlank="true" error="Please select YES or NO" errorStyle="stop" operator="between" showDropDown="false" showErrorMessage="false" showInputMessage="false" sqref="E4:E36 G4:L36" type="list">
      <formula1>"YES,NO"</formula1>
      <formula2>0</formula2>
    </dataValidation>
    <dataValidation allowBlank="true" errorStyle="stop" operator="between" showDropDown="false" showErrorMessage="false" showInputMessage="false" sqref="F4:F36" type="list">
      <formula1>"1,2,3,4,5+"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7BD5"/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9" min="7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0"/>
  </cols>
  <sheetData>
    <row r="1" customFormat="false" ht="17.35" hidden="false" customHeight="false" outlineLevel="0" collapsed="false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15" hidden="false" customHeight="false" outlineLevel="0" collapsed="false">
      <c r="A2" s="11" t="s">
        <v>105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false" outlineLevel="0" collapsed="false">
      <c r="A3" s="2" t="s">
        <v>106</v>
      </c>
      <c r="B3" s="12" t="s">
        <v>107</v>
      </c>
      <c r="C3" s="12" t="s">
        <v>108</v>
      </c>
      <c r="D3" s="12" t="s">
        <v>109</v>
      </c>
      <c r="E3" s="12" t="s">
        <v>110</v>
      </c>
      <c r="F3" s="12" t="s">
        <v>111</v>
      </c>
      <c r="G3" s="12" t="s">
        <v>112</v>
      </c>
      <c r="H3" s="12" t="s">
        <v>113</v>
      </c>
      <c r="I3" s="12" t="s">
        <v>114</v>
      </c>
    </row>
    <row r="5" customFormat="false" ht="23.85" hidden="false" customHeight="false" outlineLevel="0" collapsed="false">
      <c r="A5" s="13" t="s">
        <v>17</v>
      </c>
      <c r="B5" s="13" t="s">
        <v>93</v>
      </c>
      <c r="C5" s="13" t="s">
        <v>19</v>
      </c>
      <c r="D5" s="13" t="s">
        <v>94</v>
      </c>
      <c r="E5" s="13" t="s">
        <v>115</v>
      </c>
      <c r="F5" s="13" t="s">
        <v>116</v>
      </c>
      <c r="G5" s="13" t="s">
        <v>117</v>
      </c>
      <c r="H5" s="13" t="s">
        <v>118</v>
      </c>
      <c r="I5" s="13" t="s">
        <v>119</v>
      </c>
      <c r="J5" s="13" t="s">
        <v>120</v>
      </c>
      <c r="K5" s="13" t="s">
        <v>121</v>
      </c>
      <c r="L5" s="13" t="s">
        <v>122</v>
      </c>
      <c r="M5" s="13" t="s">
        <v>123</v>
      </c>
      <c r="N5" s="13" t="s">
        <v>124</v>
      </c>
    </row>
    <row r="6" customFormat="false" ht="15" hidden="false" customHeight="false" outlineLevel="0" collapsed="false">
      <c r="A6" s="5" t="n">
        <v>1</v>
      </c>
      <c r="B6" s="5" t="s">
        <v>27</v>
      </c>
      <c r="C6" s="5" t="s">
        <v>28</v>
      </c>
      <c r="D6" s="5" t="s">
        <v>29</v>
      </c>
      <c r="E6" s="14" t="n">
        <f aca="true">IFERROR((COUNTIF(INDIRECT("'"&amp;$B$3&amp;"'!E4"),"YES")+COUNTIF(INDIRECT("'"&amp;$C$3&amp;"'!E4"),"YES")+COUNTIF(INDIRECT("'"&amp;$D$3&amp;"'!E4"),"YES")+COUNTIF(INDIRECT("'"&amp;$E$3&amp;"'!E4"),"YES")+COUNTIF(INDIRECT("'"&amp;$F$3&amp;"'!E4"),"YES")+COUNTIF(INDIRECT("'"&amp;$G$3&amp;"'!E4"),"YES")+COUNTIF(INDIRECT("'"&amp;$H$3&amp;"'!E4"),"YES")+COUNTIF(INDIRECT("'"&amp;$I$3&amp;"'!E4"),"YES"))/8,0)</f>
        <v>0</v>
      </c>
      <c r="F6" s="15" t="n">
        <f aca="true">IFERROR((IFERROR(VALUE(SUBSTITUTE(INDIRECT("'"&amp;$B$3&amp;"'!F4"),"5+","5")),0)+IFERROR(VALUE(SUBSTITUTE(INDIRECT("'"&amp;$C$3&amp;"'!F4"),"5+","5")),0)+IFERROR(VALUE(SUBSTITUTE(INDIRECT("'"&amp;$D$3&amp;"'!F4"),"5+","5")),0)+IFERROR(VALUE(SUBSTITUTE(INDIRECT("'"&amp;$E$3&amp;"'!F4"),"5+","5")),0)+IFERROR(VALUE(SUBSTITUTE(INDIRECT("'"&amp;$F$3&amp;"'!F4"),"5+","5")),0)+IFERROR(VALUE(SUBSTITUTE(INDIRECT("'"&amp;$G$3&amp;"'!F4"),"5+","5")),0)+IFERROR(VALUE(SUBSTITUTE(INDIRECT("'"&amp;$H$3&amp;"'!F4"),"5+","5")),0)+IFERROR(VALUE(SUBSTITUTE(INDIRECT("'"&amp;$I$3&amp;"'!F4"),"5+","5")),0))/8,0)</f>
        <v>0</v>
      </c>
      <c r="G6" s="14" t="n">
        <f aca="true">IFERROR((COUNTIF(INDIRECT("'"&amp;$B$3&amp;"'!G4"),"YES")+COUNTIF(INDIRECT("'"&amp;$C$3&amp;"'!G4"),"YES")+COUNTIF(INDIRECT("'"&amp;$D$3&amp;"'!G4"),"YES")+COUNTIF(INDIRECT("'"&amp;$E$3&amp;"'!G4"),"YES")+COUNTIF(INDIRECT("'"&amp;$F$3&amp;"'!G4"),"YES")+COUNTIF(INDIRECT("'"&amp;$G$3&amp;"'!G4"),"YES")+COUNTIF(INDIRECT("'"&amp;$H$3&amp;"'!G4"),"YES")+COUNTIF(INDIRECT("'"&amp;$I$3&amp;"'!G4"),"YES"))/8,0)</f>
        <v>0</v>
      </c>
      <c r="H6" s="14" t="n">
        <f aca="true">IFERROR((COUNTIF(INDIRECT("'"&amp;$B$3&amp;"'!H4"),"YES")+COUNTIF(INDIRECT("'"&amp;$C$3&amp;"'!H4"),"YES")+COUNTIF(INDIRECT("'"&amp;$D$3&amp;"'!H4"),"YES")+COUNTIF(INDIRECT("'"&amp;$E$3&amp;"'!H4"),"YES")+COUNTIF(INDIRECT("'"&amp;$F$3&amp;"'!H4"),"YES")+COUNTIF(INDIRECT("'"&amp;$G$3&amp;"'!H4"),"YES")+COUNTIF(INDIRECT("'"&amp;$H$3&amp;"'!H4"),"YES")+COUNTIF(INDIRECT("'"&amp;$I$3&amp;"'!H4"),"YES"))/8,0)</f>
        <v>0</v>
      </c>
      <c r="I6" s="14" t="n">
        <f aca="true">IFERROR((COUNTIF(INDIRECT("'"&amp;$B$3&amp;"'!I4"),"YES")+COUNTIF(INDIRECT("'"&amp;$C$3&amp;"'!I4"),"YES")+COUNTIF(INDIRECT("'"&amp;$D$3&amp;"'!I4"),"YES")+COUNTIF(INDIRECT("'"&amp;$E$3&amp;"'!I4"),"YES")+COUNTIF(INDIRECT("'"&amp;$F$3&amp;"'!I4"),"YES")+COUNTIF(INDIRECT("'"&amp;$G$3&amp;"'!I4"),"YES")+COUNTIF(INDIRECT("'"&amp;$H$3&amp;"'!I4"),"YES")+COUNTIF(INDIRECT("'"&amp;$I$3&amp;"'!I4"),"YES"))/8,0)</f>
        <v>0</v>
      </c>
      <c r="J6" s="14" t="n">
        <f aca="true">IFERROR((COUNTIF(INDIRECT("'"&amp;$B$3&amp;"'!J4"),"YES")+COUNTIF(INDIRECT("'"&amp;$C$3&amp;"'!J4"),"YES")+COUNTIF(INDIRECT("'"&amp;$D$3&amp;"'!J4"),"YES")+COUNTIF(INDIRECT("'"&amp;$E$3&amp;"'!J4"),"YES")+COUNTIF(INDIRECT("'"&amp;$F$3&amp;"'!J4"),"YES")+COUNTIF(INDIRECT("'"&amp;$G$3&amp;"'!J4"),"YES")+COUNTIF(INDIRECT("'"&amp;$H$3&amp;"'!J4"),"YES")+COUNTIF(INDIRECT("'"&amp;$I$3&amp;"'!J4"),"YES"))/8,0)</f>
        <v>0</v>
      </c>
      <c r="K6" s="14" t="n">
        <f aca="true">IFERROR((COUNTIF(INDIRECT("'"&amp;$B$3&amp;"'!K4"),"YES")+COUNTIF(INDIRECT("'"&amp;$C$3&amp;"'!K4"),"YES")+COUNTIF(INDIRECT("'"&amp;$D$3&amp;"'!K4"),"YES")+COUNTIF(INDIRECT("'"&amp;$E$3&amp;"'!K4"),"YES")+COUNTIF(INDIRECT("'"&amp;$F$3&amp;"'!K4"),"YES")+COUNTIF(INDIRECT("'"&amp;$G$3&amp;"'!K4"),"YES")+COUNTIF(INDIRECT("'"&amp;$H$3&amp;"'!K4"),"YES")+COUNTIF(INDIRECT("'"&amp;$I$3&amp;"'!K4"),"YES"))/8,0)</f>
        <v>0</v>
      </c>
      <c r="L6" s="14" t="n">
        <f aca="true">IFERROR((COUNTIF(INDIRECT("'"&amp;$B$3&amp;"'!L4"),"YES")+COUNTIF(INDIRECT("'"&amp;$C$3&amp;"'!L4"),"YES")+COUNTIF(INDIRECT("'"&amp;$D$3&amp;"'!L4"),"YES")+COUNTIF(INDIRECT("'"&amp;$E$3&amp;"'!L4"),"YES")+COUNTIF(INDIRECT("'"&amp;$F$3&amp;"'!L4"),"YES")+COUNTIF(INDIRECT("'"&amp;$G$3&amp;"'!L4"),"YES")+COUNTIF(INDIRECT("'"&amp;$H$3&amp;"'!L4"),"YES")+COUNTIF(INDIRECT("'"&amp;$I$3&amp;"'!L4"),"YES"))/8,0)</f>
        <v>0</v>
      </c>
      <c r="M6" s="15" t="n">
        <f aca="false">IFERROR((J6*3)+(G6*1)+(H6*2)+(I6*2)-(L6*2),0)</f>
        <v>0</v>
      </c>
      <c r="N6" s="5"/>
    </row>
    <row r="7" customFormat="false" ht="15" hidden="false" customHeight="false" outlineLevel="0" collapsed="false">
      <c r="A7" s="7" t="n">
        <v>2</v>
      </c>
      <c r="B7" s="7" t="s">
        <v>27</v>
      </c>
      <c r="C7" s="7" t="s">
        <v>34</v>
      </c>
      <c r="D7" s="7" t="s">
        <v>35</v>
      </c>
      <c r="E7" s="16" t="n">
        <f aca="true">IFERROR((COUNTIF(INDIRECT("'"&amp;$B$3&amp;"'!E5"),"YES")+COUNTIF(INDIRECT("'"&amp;$C$3&amp;"'!E5"),"YES")+COUNTIF(INDIRECT("'"&amp;$D$3&amp;"'!E5"),"YES")+COUNTIF(INDIRECT("'"&amp;$E$3&amp;"'!E5"),"YES")+COUNTIF(INDIRECT("'"&amp;$F$3&amp;"'!E5"),"YES")+COUNTIF(INDIRECT("'"&amp;$G$3&amp;"'!E5"),"YES")+COUNTIF(INDIRECT("'"&amp;$H$3&amp;"'!E5"),"YES")+COUNTIF(INDIRECT("'"&amp;$I$3&amp;"'!E5"),"YES"))/8,0)</f>
        <v>0</v>
      </c>
      <c r="F7" s="17" t="n">
        <f aca="true">IFERROR((IFERROR(VALUE(SUBSTITUTE(INDIRECT("'"&amp;$B$3&amp;"'!F5"),"5+","5")),0)+IFERROR(VALUE(SUBSTITUTE(INDIRECT("'"&amp;$C$3&amp;"'!F5"),"5+","5")),0)+IFERROR(VALUE(SUBSTITUTE(INDIRECT("'"&amp;$D$3&amp;"'!F5"),"5+","5")),0)+IFERROR(VALUE(SUBSTITUTE(INDIRECT("'"&amp;$E$3&amp;"'!F5"),"5+","5")),0)+IFERROR(VALUE(SUBSTITUTE(INDIRECT("'"&amp;$F$3&amp;"'!F5"),"5+","5")),0)+IFERROR(VALUE(SUBSTITUTE(INDIRECT("'"&amp;$G$3&amp;"'!F5"),"5+","5")),0)+IFERROR(VALUE(SUBSTITUTE(INDIRECT("'"&amp;$H$3&amp;"'!F5"),"5+","5")),0)+IFERROR(VALUE(SUBSTITUTE(INDIRECT("'"&amp;$I$3&amp;"'!F5"),"5+","5")),0))/8,0)</f>
        <v>0</v>
      </c>
      <c r="G7" s="16" t="n">
        <f aca="true">IFERROR((COUNTIF(INDIRECT("'"&amp;$B$3&amp;"'!G5"),"YES")+COUNTIF(INDIRECT("'"&amp;$C$3&amp;"'!G5"),"YES")+COUNTIF(INDIRECT("'"&amp;$D$3&amp;"'!G5"),"YES")+COUNTIF(INDIRECT("'"&amp;$E$3&amp;"'!G5"),"YES")+COUNTIF(INDIRECT("'"&amp;$F$3&amp;"'!G5"),"YES")+COUNTIF(INDIRECT("'"&amp;$G$3&amp;"'!G5"),"YES")+COUNTIF(INDIRECT("'"&amp;$H$3&amp;"'!G5"),"YES")+COUNTIF(INDIRECT("'"&amp;$I$3&amp;"'!G5"),"YES"))/8,0)</f>
        <v>0</v>
      </c>
      <c r="H7" s="16" t="n">
        <f aca="true">IFERROR((COUNTIF(INDIRECT("'"&amp;$B$3&amp;"'!H5"),"YES")+COUNTIF(INDIRECT("'"&amp;$C$3&amp;"'!H5"),"YES")+COUNTIF(INDIRECT("'"&amp;$D$3&amp;"'!H5"),"YES")+COUNTIF(INDIRECT("'"&amp;$E$3&amp;"'!H5"),"YES")+COUNTIF(INDIRECT("'"&amp;$F$3&amp;"'!H5"),"YES")+COUNTIF(INDIRECT("'"&amp;$G$3&amp;"'!H5"),"YES")+COUNTIF(INDIRECT("'"&amp;$H$3&amp;"'!H5"),"YES")+COUNTIF(INDIRECT("'"&amp;$I$3&amp;"'!H5"),"YES"))/8,0)</f>
        <v>0</v>
      </c>
      <c r="I7" s="16" t="n">
        <f aca="true">IFERROR((COUNTIF(INDIRECT("'"&amp;$B$3&amp;"'!I5"),"YES")+COUNTIF(INDIRECT("'"&amp;$C$3&amp;"'!I5"),"YES")+COUNTIF(INDIRECT("'"&amp;$D$3&amp;"'!I5"),"YES")+COUNTIF(INDIRECT("'"&amp;$E$3&amp;"'!I5"),"YES")+COUNTIF(INDIRECT("'"&amp;$F$3&amp;"'!I5"),"YES")+COUNTIF(INDIRECT("'"&amp;$G$3&amp;"'!I5"),"YES")+COUNTIF(INDIRECT("'"&amp;$H$3&amp;"'!I5"),"YES")+COUNTIF(INDIRECT("'"&amp;$I$3&amp;"'!I5"),"YES"))/8,0)</f>
        <v>0</v>
      </c>
      <c r="J7" s="16" t="n">
        <f aca="true">IFERROR((COUNTIF(INDIRECT("'"&amp;$B$3&amp;"'!J5"),"YES")+COUNTIF(INDIRECT("'"&amp;$C$3&amp;"'!J5"),"YES")+COUNTIF(INDIRECT("'"&amp;$D$3&amp;"'!J5"),"YES")+COUNTIF(INDIRECT("'"&amp;$E$3&amp;"'!J5"),"YES")+COUNTIF(INDIRECT("'"&amp;$F$3&amp;"'!J5"),"YES")+COUNTIF(INDIRECT("'"&amp;$G$3&amp;"'!J5"),"YES")+COUNTIF(INDIRECT("'"&amp;$H$3&amp;"'!J5"),"YES")+COUNTIF(INDIRECT("'"&amp;$I$3&amp;"'!J5"),"YES"))/8,0)</f>
        <v>0</v>
      </c>
      <c r="K7" s="16" t="n">
        <f aca="true">IFERROR((COUNTIF(INDIRECT("'"&amp;$B$3&amp;"'!K5"),"YES")+COUNTIF(INDIRECT("'"&amp;$C$3&amp;"'!K5"),"YES")+COUNTIF(INDIRECT("'"&amp;$D$3&amp;"'!K5"),"YES")+COUNTIF(INDIRECT("'"&amp;$E$3&amp;"'!K5"),"YES")+COUNTIF(INDIRECT("'"&amp;$F$3&amp;"'!K5"),"YES")+COUNTIF(INDIRECT("'"&amp;$G$3&amp;"'!K5"),"YES")+COUNTIF(INDIRECT("'"&amp;$H$3&amp;"'!K5"),"YES")+COUNTIF(INDIRECT("'"&amp;$I$3&amp;"'!K5"),"YES"))/8,0)</f>
        <v>0</v>
      </c>
      <c r="L7" s="16" t="n">
        <f aca="true">IFERROR((COUNTIF(INDIRECT("'"&amp;$B$3&amp;"'!L5"),"YES")+COUNTIF(INDIRECT("'"&amp;$C$3&amp;"'!L5"),"YES")+COUNTIF(INDIRECT("'"&amp;$D$3&amp;"'!L5"),"YES")+COUNTIF(INDIRECT("'"&amp;$E$3&amp;"'!L5"),"YES")+COUNTIF(INDIRECT("'"&amp;$F$3&amp;"'!L5"),"YES")+COUNTIF(INDIRECT("'"&amp;$G$3&amp;"'!L5"),"YES")+COUNTIF(INDIRECT("'"&amp;$H$3&amp;"'!L5"),"YES")+COUNTIF(INDIRECT("'"&amp;$I$3&amp;"'!L5"),"YES"))/8,0)</f>
        <v>0</v>
      </c>
      <c r="M7" s="17" t="n">
        <f aca="false">IFERROR((J7*3)+(G7*1)+(H7*2)+(I7*2)-(L7*2),0)</f>
        <v>0</v>
      </c>
      <c r="N7" s="7"/>
    </row>
    <row r="8" customFormat="false" ht="15" hidden="false" customHeight="false" outlineLevel="0" collapsed="false">
      <c r="A8" s="5" t="n">
        <v>3</v>
      </c>
      <c r="B8" s="5" t="s">
        <v>27</v>
      </c>
      <c r="C8" s="5" t="s">
        <v>38</v>
      </c>
      <c r="D8" s="5" t="s">
        <v>39</v>
      </c>
      <c r="E8" s="14" t="n">
        <f aca="true">IFERROR((COUNTIF(INDIRECT("'"&amp;$B$3&amp;"'!E6"),"YES")+COUNTIF(INDIRECT("'"&amp;$C$3&amp;"'!E6"),"YES")+COUNTIF(INDIRECT("'"&amp;$D$3&amp;"'!E6"),"YES")+COUNTIF(INDIRECT("'"&amp;$E$3&amp;"'!E6"),"YES")+COUNTIF(INDIRECT("'"&amp;$F$3&amp;"'!E6"),"YES")+COUNTIF(INDIRECT("'"&amp;$G$3&amp;"'!E6"),"YES")+COUNTIF(INDIRECT("'"&amp;$H$3&amp;"'!E6"),"YES")+COUNTIF(INDIRECT("'"&amp;$I$3&amp;"'!E6"),"YES"))/8,0)</f>
        <v>0</v>
      </c>
      <c r="F8" s="15" t="n">
        <f aca="true">IFERROR((IFERROR(VALUE(SUBSTITUTE(INDIRECT("'"&amp;$B$3&amp;"'!F6"),"5+","5")),0)+IFERROR(VALUE(SUBSTITUTE(INDIRECT("'"&amp;$C$3&amp;"'!F6"),"5+","5")),0)+IFERROR(VALUE(SUBSTITUTE(INDIRECT("'"&amp;$D$3&amp;"'!F6"),"5+","5")),0)+IFERROR(VALUE(SUBSTITUTE(INDIRECT("'"&amp;$E$3&amp;"'!F6"),"5+","5")),0)+IFERROR(VALUE(SUBSTITUTE(INDIRECT("'"&amp;$F$3&amp;"'!F6"),"5+","5")),0)+IFERROR(VALUE(SUBSTITUTE(INDIRECT("'"&amp;$G$3&amp;"'!F6"),"5+","5")),0)+IFERROR(VALUE(SUBSTITUTE(INDIRECT("'"&amp;$H$3&amp;"'!F6"),"5+","5")),0)+IFERROR(VALUE(SUBSTITUTE(INDIRECT("'"&amp;$I$3&amp;"'!F6"),"5+","5")),0))/8,0)</f>
        <v>0</v>
      </c>
      <c r="G8" s="14" t="n">
        <f aca="true">IFERROR((COUNTIF(INDIRECT("'"&amp;$B$3&amp;"'!G6"),"YES")+COUNTIF(INDIRECT("'"&amp;$C$3&amp;"'!G6"),"YES")+COUNTIF(INDIRECT("'"&amp;$D$3&amp;"'!G6"),"YES")+COUNTIF(INDIRECT("'"&amp;$E$3&amp;"'!G6"),"YES")+COUNTIF(INDIRECT("'"&amp;$F$3&amp;"'!G6"),"YES")+COUNTIF(INDIRECT("'"&amp;$G$3&amp;"'!G6"),"YES")+COUNTIF(INDIRECT("'"&amp;$H$3&amp;"'!G6"),"YES")+COUNTIF(INDIRECT("'"&amp;$I$3&amp;"'!G6"),"YES"))/8,0)</f>
        <v>0</v>
      </c>
      <c r="H8" s="14" t="n">
        <f aca="true">IFERROR((COUNTIF(INDIRECT("'"&amp;$B$3&amp;"'!H6"),"YES")+COUNTIF(INDIRECT("'"&amp;$C$3&amp;"'!H6"),"YES")+COUNTIF(INDIRECT("'"&amp;$D$3&amp;"'!H6"),"YES")+COUNTIF(INDIRECT("'"&amp;$E$3&amp;"'!H6"),"YES")+COUNTIF(INDIRECT("'"&amp;$F$3&amp;"'!H6"),"YES")+COUNTIF(INDIRECT("'"&amp;$G$3&amp;"'!H6"),"YES")+COUNTIF(INDIRECT("'"&amp;$H$3&amp;"'!H6"),"YES")+COUNTIF(INDIRECT("'"&amp;$I$3&amp;"'!H6"),"YES"))/8,0)</f>
        <v>0</v>
      </c>
      <c r="I8" s="14" t="n">
        <f aca="true">IFERROR((COUNTIF(INDIRECT("'"&amp;$B$3&amp;"'!I6"),"YES")+COUNTIF(INDIRECT("'"&amp;$C$3&amp;"'!I6"),"YES")+COUNTIF(INDIRECT("'"&amp;$D$3&amp;"'!I6"),"YES")+COUNTIF(INDIRECT("'"&amp;$E$3&amp;"'!I6"),"YES")+COUNTIF(INDIRECT("'"&amp;$F$3&amp;"'!I6"),"YES")+COUNTIF(INDIRECT("'"&amp;$G$3&amp;"'!I6"),"YES")+COUNTIF(INDIRECT("'"&amp;$H$3&amp;"'!I6"),"YES")+COUNTIF(INDIRECT("'"&amp;$I$3&amp;"'!I6"),"YES"))/8,0)</f>
        <v>0</v>
      </c>
      <c r="J8" s="14" t="n">
        <f aca="true">IFERROR((COUNTIF(INDIRECT("'"&amp;$B$3&amp;"'!J6"),"YES")+COUNTIF(INDIRECT("'"&amp;$C$3&amp;"'!J6"),"YES")+COUNTIF(INDIRECT("'"&amp;$D$3&amp;"'!J6"),"YES")+COUNTIF(INDIRECT("'"&amp;$E$3&amp;"'!J6"),"YES")+COUNTIF(INDIRECT("'"&amp;$F$3&amp;"'!J6"),"YES")+COUNTIF(INDIRECT("'"&amp;$G$3&amp;"'!J6"),"YES")+COUNTIF(INDIRECT("'"&amp;$H$3&amp;"'!J6"),"YES")+COUNTIF(INDIRECT("'"&amp;$I$3&amp;"'!J6"),"YES"))/8,0)</f>
        <v>0</v>
      </c>
      <c r="K8" s="14" t="n">
        <f aca="true">IFERROR((COUNTIF(INDIRECT("'"&amp;$B$3&amp;"'!K6"),"YES")+COUNTIF(INDIRECT("'"&amp;$C$3&amp;"'!K6"),"YES")+COUNTIF(INDIRECT("'"&amp;$D$3&amp;"'!K6"),"YES")+COUNTIF(INDIRECT("'"&amp;$E$3&amp;"'!K6"),"YES")+COUNTIF(INDIRECT("'"&amp;$F$3&amp;"'!K6"),"YES")+COUNTIF(INDIRECT("'"&amp;$G$3&amp;"'!K6"),"YES")+COUNTIF(INDIRECT("'"&amp;$H$3&amp;"'!K6"),"YES")+COUNTIF(INDIRECT("'"&amp;$I$3&amp;"'!K6"),"YES"))/8,0)</f>
        <v>0</v>
      </c>
      <c r="L8" s="14" t="n">
        <f aca="true">IFERROR((COUNTIF(INDIRECT("'"&amp;$B$3&amp;"'!L6"),"YES")+COUNTIF(INDIRECT("'"&amp;$C$3&amp;"'!L6"),"YES")+COUNTIF(INDIRECT("'"&amp;$D$3&amp;"'!L6"),"YES")+COUNTIF(INDIRECT("'"&amp;$E$3&amp;"'!L6"),"YES")+COUNTIF(INDIRECT("'"&amp;$F$3&amp;"'!L6"),"YES")+COUNTIF(INDIRECT("'"&amp;$G$3&amp;"'!L6"),"YES")+COUNTIF(INDIRECT("'"&amp;$H$3&amp;"'!L6"),"YES")+COUNTIF(INDIRECT("'"&amp;$I$3&amp;"'!L6"),"YES"))/8,0)</f>
        <v>0</v>
      </c>
      <c r="M8" s="15" t="n">
        <f aca="false">IFERROR((J8*3)+(G8*1)+(H8*2)+(I8*2)-(L8*2),0)</f>
        <v>0</v>
      </c>
      <c r="N8" s="5"/>
    </row>
    <row r="9" customFormat="false" ht="15" hidden="false" customHeight="false" outlineLevel="0" collapsed="false">
      <c r="A9" s="7" t="n">
        <v>4</v>
      </c>
      <c r="B9" s="7" t="s">
        <v>27</v>
      </c>
      <c r="C9" s="7" t="s">
        <v>31</v>
      </c>
      <c r="D9" s="7" t="s">
        <v>42</v>
      </c>
      <c r="E9" s="16" t="n">
        <f aca="true">IFERROR((COUNTIF(INDIRECT("'"&amp;$B$3&amp;"'!E7"),"YES")+COUNTIF(INDIRECT("'"&amp;$C$3&amp;"'!E7"),"YES")+COUNTIF(INDIRECT("'"&amp;$D$3&amp;"'!E7"),"YES")+COUNTIF(INDIRECT("'"&amp;$E$3&amp;"'!E7"),"YES")+COUNTIF(INDIRECT("'"&amp;$F$3&amp;"'!E7"),"YES")+COUNTIF(INDIRECT("'"&amp;$G$3&amp;"'!E7"),"YES")+COUNTIF(INDIRECT("'"&amp;$H$3&amp;"'!E7"),"YES")+COUNTIF(INDIRECT("'"&amp;$I$3&amp;"'!E7"),"YES"))/8,0)</f>
        <v>0</v>
      </c>
      <c r="F9" s="17" t="n">
        <f aca="true">IFERROR((IFERROR(VALUE(SUBSTITUTE(INDIRECT("'"&amp;$B$3&amp;"'!F7"),"5+","5")),0)+IFERROR(VALUE(SUBSTITUTE(INDIRECT("'"&amp;$C$3&amp;"'!F7"),"5+","5")),0)+IFERROR(VALUE(SUBSTITUTE(INDIRECT("'"&amp;$D$3&amp;"'!F7"),"5+","5")),0)+IFERROR(VALUE(SUBSTITUTE(INDIRECT("'"&amp;$E$3&amp;"'!F7"),"5+","5")),0)+IFERROR(VALUE(SUBSTITUTE(INDIRECT("'"&amp;$F$3&amp;"'!F7"),"5+","5")),0)+IFERROR(VALUE(SUBSTITUTE(INDIRECT("'"&amp;$G$3&amp;"'!F7"),"5+","5")),0)+IFERROR(VALUE(SUBSTITUTE(INDIRECT("'"&amp;$H$3&amp;"'!F7"),"5+","5")),0)+IFERROR(VALUE(SUBSTITUTE(INDIRECT("'"&amp;$I$3&amp;"'!F7"),"5+","5")),0))/8,0)</f>
        <v>0</v>
      </c>
      <c r="G9" s="16" t="n">
        <f aca="true">IFERROR((COUNTIF(INDIRECT("'"&amp;$B$3&amp;"'!G7"),"YES")+COUNTIF(INDIRECT("'"&amp;$C$3&amp;"'!G7"),"YES")+COUNTIF(INDIRECT("'"&amp;$D$3&amp;"'!G7"),"YES")+COUNTIF(INDIRECT("'"&amp;$E$3&amp;"'!G7"),"YES")+COUNTIF(INDIRECT("'"&amp;$F$3&amp;"'!G7"),"YES")+COUNTIF(INDIRECT("'"&amp;$G$3&amp;"'!G7"),"YES")+COUNTIF(INDIRECT("'"&amp;$H$3&amp;"'!G7"),"YES")+COUNTIF(INDIRECT("'"&amp;$I$3&amp;"'!G7"),"YES"))/8,0)</f>
        <v>0</v>
      </c>
      <c r="H9" s="16" t="n">
        <f aca="true">IFERROR((COUNTIF(INDIRECT("'"&amp;$B$3&amp;"'!H7"),"YES")+COUNTIF(INDIRECT("'"&amp;$C$3&amp;"'!H7"),"YES")+COUNTIF(INDIRECT("'"&amp;$D$3&amp;"'!H7"),"YES")+COUNTIF(INDIRECT("'"&amp;$E$3&amp;"'!H7"),"YES")+COUNTIF(INDIRECT("'"&amp;$F$3&amp;"'!H7"),"YES")+COUNTIF(INDIRECT("'"&amp;$G$3&amp;"'!H7"),"YES")+COUNTIF(INDIRECT("'"&amp;$H$3&amp;"'!H7"),"YES")+COUNTIF(INDIRECT("'"&amp;$I$3&amp;"'!H7"),"YES"))/8,0)</f>
        <v>0</v>
      </c>
      <c r="I9" s="16" t="n">
        <f aca="true">IFERROR((COUNTIF(INDIRECT("'"&amp;$B$3&amp;"'!I7"),"YES")+COUNTIF(INDIRECT("'"&amp;$C$3&amp;"'!I7"),"YES")+COUNTIF(INDIRECT("'"&amp;$D$3&amp;"'!I7"),"YES")+COUNTIF(INDIRECT("'"&amp;$E$3&amp;"'!I7"),"YES")+COUNTIF(INDIRECT("'"&amp;$F$3&amp;"'!I7"),"YES")+COUNTIF(INDIRECT("'"&amp;$G$3&amp;"'!I7"),"YES")+COUNTIF(INDIRECT("'"&amp;$H$3&amp;"'!I7"),"YES")+COUNTIF(INDIRECT("'"&amp;$I$3&amp;"'!I7"),"YES"))/8,0)</f>
        <v>0</v>
      </c>
      <c r="J9" s="16" t="n">
        <f aca="true">IFERROR((COUNTIF(INDIRECT("'"&amp;$B$3&amp;"'!J7"),"YES")+COUNTIF(INDIRECT("'"&amp;$C$3&amp;"'!J7"),"YES")+COUNTIF(INDIRECT("'"&amp;$D$3&amp;"'!J7"),"YES")+COUNTIF(INDIRECT("'"&amp;$E$3&amp;"'!J7"),"YES")+COUNTIF(INDIRECT("'"&amp;$F$3&amp;"'!J7"),"YES")+COUNTIF(INDIRECT("'"&amp;$G$3&amp;"'!J7"),"YES")+COUNTIF(INDIRECT("'"&amp;$H$3&amp;"'!J7"),"YES")+COUNTIF(INDIRECT("'"&amp;$I$3&amp;"'!J7"),"YES"))/8,0)</f>
        <v>0</v>
      </c>
      <c r="K9" s="16" t="n">
        <f aca="true">IFERROR((COUNTIF(INDIRECT("'"&amp;$B$3&amp;"'!K7"),"YES")+COUNTIF(INDIRECT("'"&amp;$C$3&amp;"'!K7"),"YES")+COUNTIF(INDIRECT("'"&amp;$D$3&amp;"'!K7"),"YES")+COUNTIF(INDIRECT("'"&amp;$E$3&amp;"'!K7"),"YES")+COUNTIF(INDIRECT("'"&amp;$F$3&amp;"'!K7"),"YES")+COUNTIF(INDIRECT("'"&amp;$G$3&amp;"'!K7"),"YES")+COUNTIF(INDIRECT("'"&amp;$H$3&amp;"'!K7"),"YES")+COUNTIF(INDIRECT("'"&amp;$I$3&amp;"'!K7"),"YES"))/8,0)</f>
        <v>0</v>
      </c>
      <c r="L9" s="16" t="n">
        <f aca="true">IFERROR((COUNTIF(INDIRECT("'"&amp;$B$3&amp;"'!L7"),"YES")+COUNTIF(INDIRECT("'"&amp;$C$3&amp;"'!L7"),"YES")+COUNTIF(INDIRECT("'"&amp;$D$3&amp;"'!L7"),"YES")+COUNTIF(INDIRECT("'"&amp;$E$3&amp;"'!L7"),"YES")+COUNTIF(INDIRECT("'"&amp;$F$3&amp;"'!L7"),"YES")+COUNTIF(INDIRECT("'"&amp;$G$3&amp;"'!L7"),"YES")+COUNTIF(INDIRECT("'"&amp;$H$3&amp;"'!L7"),"YES")+COUNTIF(INDIRECT("'"&amp;$I$3&amp;"'!L7"),"YES"))/8,0)</f>
        <v>0</v>
      </c>
      <c r="M9" s="17" t="n">
        <f aca="false">IFERROR((J9*3)+(G9*1)+(H9*2)+(I9*2)-(L9*2),0)</f>
        <v>0</v>
      </c>
      <c r="N9" s="7"/>
    </row>
    <row r="10" customFormat="false" ht="15" hidden="false" customHeight="false" outlineLevel="0" collapsed="false">
      <c r="A10" s="5" t="n">
        <v>5</v>
      </c>
      <c r="B10" s="5" t="s">
        <v>27</v>
      </c>
      <c r="C10" s="5" t="s">
        <v>37</v>
      </c>
      <c r="D10" s="5" t="s">
        <v>45</v>
      </c>
      <c r="E10" s="14" t="n">
        <f aca="true">IFERROR((COUNTIF(INDIRECT("'"&amp;$B$3&amp;"'!E8"),"YES")+COUNTIF(INDIRECT("'"&amp;$C$3&amp;"'!E8"),"YES")+COUNTIF(INDIRECT("'"&amp;$D$3&amp;"'!E8"),"YES")+COUNTIF(INDIRECT("'"&amp;$E$3&amp;"'!E8"),"YES")+COUNTIF(INDIRECT("'"&amp;$F$3&amp;"'!E8"),"YES")+COUNTIF(INDIRECT("'"&amp;$G$3&amp;"'!E8"),"YES")+COUNTIF(INDIRECT("'"&amp;$H$3&amp;"'!E8"),"YES")+COUNTIF(INDIRECT("'"&amp;$I$3&amp;"'!E8"),"YES"))/8,0)</f>
        <v>0</v>
      </c>
      <c r="F10" s="15" t="n">
        <f aca="true">IFERROR((IFERROR(VALUE(SUBSTITUTE(INDIRECT("'"&amp;$B$3&amp;"'!F8"),"5+","5")),0)+IFERROR(VALUE(SUBSTITUTE(INDIRECT("'"&amp;$C$3&amp;"'!F8"),"5+","5")),0)+IFERROR(VALUE(SUBSTITUTE(INDIRECT("'"&amp;$D$3&amp;"'!F8"),"5+","5")),0)+IFERROR(VALUE(SUBSTITUTE(INDIRECT("'"&amp;$E$3&amp;"'!F8"),"5+","5")),0)+IFERROR(VALUE(SUBSTITUTE(INDIRECT("'"&amp;$F$3&amp;"'!F8"),"5+","5")),0)+IFERROR(VALUE(SUBSTITUTE(INDIRECT("'"&amp;$G$3&amp;"'!F8"),"5+","5")),0)+IFERROR(VALUE(SUBSTITUTE(INDIRECT("'"&amp;$H$3&amp;"'!F8"),"5+","5")),0)+IFERROR(VALUE(SUBSTITUTE(INDIRECT("'"&amp;$I$3&amp;"'!F8"),"5+","5")),0))/8,0)</f>
        <v>0</v>
      </c>
      <c r="G10" s="14" t="n">
        <f aca="true">IFERROR((COUNTIF(INDIRECT("'"&amp;$B$3&amp;"'!G8"),"YES")+COUNTIF(INDIRECT("'"&amp;$C$3&amp;"'!G8"),"YES")+COUNTIF(INDIRECT("'"&amp;$D$3&amp;"'!G8"),"YES")+COUNTIF(INDIRECT("'"&amp;$E$3&amp;"'!G8"),"YES")+COUNTIF(INDIRECT("'"&amp;$F$3&amp;"'!G8"),"YES")+COUNTIF(INDIRECT("'"&amp;$G$3&amp;"'!G8"),"YES")+COUNTIF(INDIRECT("'"&amp;$H$3&amp;"'!G8"),"YES")+COUNTIF(INDIRECT("'"&amp;$I$3&amp;"'!G8"),"YES"))/8,0)</f>
        <v>0</v>
      </c>
      <c r="H10" s="14" t="n">
        <f aca="true">IFERROR((COUNTIF(INDIRECT("'"&amp;$B$3&amp;"'!H8"),"YES")+COUNTIF(INDIRECT("'"&amp;$C$3&amp;"'!H8"),"YES")+COUNTIF(INDIRECT("'"&amp;$D$3&amp;"'!H8"),"YES")+COUNTIF(INDIRECT("'"&amp;$E$3&amp;"'!H8"),"YES")+COUNTIF(INDIRECT("'"&amp;$F$3&amp;"'!H8"),"YES")+COUNTIF(INDIRECT("'"&amp;$G$3&amp;"'!H8"),"YES")+COUNTIF(INDIRECT("'"&amp;$H$3&amp;"'!H8"),"YES")+COUNTIF(INDIRECT("'"&amp;$I$3&amp;"'!H8"),"YES"))/8,0)</f>
        <v>0</v>
      </c>
      <c r="I10" s="14" t="n">
        <f aca="true">IFERROR((COUNTIF(INDIRECT("'"&amp;$B$3&amp;"'!I8"),"YES")+COUNTIF(INDIRECT("'"&amp;$C$3&amp;"'!I8"),"YES")+COUNTIF(INDIRECT("'"&amp;$D$3&amp;"'!I8"),"YES")+COUNTIF(INDIRECT("'"&amp;$E$3&amp;"'!I8"),"YES")+COUNTIF(INDIRECT("'"&amp;$F$3&amp;"'!I8"),"YES")+COUNTIF(INDIRECT("'"&amp;$G$3&amp;"'!I8"),"YES")+COUNTIF(INDIRECT("'"&amp;$H$3&amp;"'!I8"),"YES")+COUNTIF(INDIRECT("'"&amp;$I$3&amp;"'!I8"),"YES"))/8,0)</f>
        <v>0</v>
      </c>
      <c r="J10" s="14" t="n">
        <f aca="true">IFERROR((COUNTIF(INDIRECT("'"&amp;$B$3&amp;"'!J8"),"YES")+COUNTIF(INDIRECT("'"&amp;$C$3&amp;"'!J8"),"YES")+COUNTIF(INDIRECT("'"&amp;$D$3&amp;"'!J8"),"YES")+COUNTIF(INDIRECT("'"&amp;$E$3&amp;"'!J8"),"YES")+COUNTIF(INDIRECT("'"&amp;$F$3&amp;"'!J8"),"YES")+COUNTIF(INDIRECT("'"&amp;$G$3&amp;"'!J8"),"YES")+COUNTIF(INDIRECT("'"&amp;$H$3&amp;"'!J8"),"YES")+COUNTIF(INDIRECT("'"&amp;$I$3&amp;"'!J8"),"YES"))/8,0)</f>
        <v>0</v>
      </c>
      <c r="K10" s="14" t="n">
        <f aca="true">IFERROR((COUNTIF(INDIRECT("'"&amp;$B$3&amp;"'!K8"),"YES")+COUNTIF(INDIRECT("'"&amp;$C$3&amp;"'!K8"),"YES")+COUNTIF(INDIRECT("'"&amp;$D$3&amp;"'!K8"),"YES")+COUNTIF(INDIRECT("'"&amp;$E$3&amp;"'!K8"),"YES")+COUNTIF(INDIRECT("'"&amp;$F$3&amp;"'!K8"),"YES")+COUNTIF(INDIRECT("'"&amp;$G$3&amp;"'!K8"),"YES")+COUNTIF(INDIRECT("'"&amp;$H$3&amp;"'!K8"),"YES")+COUNTIF(INDIRECT("'"&amp;$I$3&amp;"'!K8"),"YES"))/8,0)</f>
        <v>0</v>
      </c>
      <c r="L10" s="14" t="n">
        <f aca="true">IFERROR((COUNTIF(INDIRECT("'"&amp;$B$3&amp;"'!L8"),"YES")+COUNTIF(INDIRECT("'"&amp;$C$3&amp;"'!L8"),"YES")+COUNTIF(INDIRECT("'"&amp;$D$3&amp;"'!L8"),"YES")+COUNTIF(INDIRECT("'"&amp;$E$3&amp;"'!L8"),"YES")+COUNTIF(INDIRECT("'"&amp;$F$3&amp;"'!L8"),"YES")+COUNTIF(INDIRECT("'"&amp;$G$3&amp;"'!L8"),"YES")+COUNTIF(INDIRECT("'"&amp;$H$3&amp;"'!L8"),"YES")+COUNTIF(INDIRECT("'"&amp;$I$3&amp;"'!L8"),"YES"))/8,0)</f>
        <v>0</v>
      </c>
      <c r="M10" s="15" t="n">
        <f aca="false">IFERROR((J10*3)+(G10*1)+(H10*2)+(I10*2)-(L10*2),0)</f>
        <v>0</v>
      </c>
      <c r="N10" s="5"/>
    </row>
    <row r="11" customFormat="false" ht="15" hidden="false" customHeight="false" outlineLevel="0" collapsed="false">
      <c r="A11" s="7" t="n">
        <v>6</v>
      </c>
      <c r="B11" s="7" t="s">
        <v>27</v>
      </c>
      <c r="C11" s="7" t="s">
        <v>46</v>
      </c>
      <c r="D11" s="7" t="s">
        <v>47</v>
      </c>
      <c r="E11" s="16" t="n">
        <f aca="true">IFERROR((COUNTIF(INDIRECT("'"&amp;$B$3&amp;"'!E9"),"YES")+COUNTIF(INDIRECT("'"&amp;$C$3&amp;"'!E9"),"YES")+COUNTIF(INDIRECT("'"&amp;$D$3&amp;"'!E9"),"YES")+COUNTIF(INDIRECT("'"&amp;$E$3&amp;"'!E9"),"YES")+COUNTIF(INDIRECT("'"&amp;$F$3&amp;"'!E9"),"YES")+COUNTIF(INDIRECT("'"&amp;$G$3&amp;"'!E9"),"YES")+COUNTIF(INDIRECT("'"&amp;$H$3&amp;"'!E9"),"YES")+COUNTIF(INDIRECT("'"&amp;$I$3&amp;"'!E9"),"YES"))/8,0)</f>
        <v>0</v>
      </c>
      <c r="F11" s="17" t="n">
        <f aca="true">IFERROR((IFERROR(VALUE(SUBSTITUTE(INDIRECT("'"&amp;$B$3&amp;"'!F9"),"5+","5")),0)+IFERROR(VALUE(SUBSTITUTE(INDIRECT("'"&amp;$C$3&amp;"'!F9"),"5+","5")),0)+IFERROR(VALUE(SUBSTITUTE(INDIRECT("'"&amp;$D$3&amp;"'!F9"),"5+","5")),0)+IFERROR(VALUE(SUBSTITUTE(INDIRECT("'"&amp;$E$3&amp;"'!F9"),"5+","5")),0)+IFERROR(VALUE(SUBSTITUTE(INDIRECT("'"&amp;$F$3&amp;"'!F9"),"5+","5")),0)+IFERROR(VALUE(SUBSTITUTE(INDIRECT("'"&amp;$G$3&amp;"'!F9"),"5+","5")),0)+IFERROR(VALUE(SUBSTITUTE(INDIRECT("'"&amp;$H$3&amp;"'!F9"),"5+","5")),0)+IFERROR(VALUE(SUBSTITUTE(INDIRECT("'"&amp;$I$3&amp;"'!F9"),"5+","5")),0))/8,0)</f>
        <v>0</v>
      </c>
      <c r="G11" s="16" t="n">
        <f aca="true">IFERROR((COUNTIF(INDIRECT("'"&amp;$B$3&amp;"'!G9"),"YES")+COUNTIF(INDIRECT("'"&amp;$C$3&amp;"'!G9"),"YES")+COUNTIF(INDIRECT("'"&amp;$D$3&amp;"'!G9"),"YES")+COUNTIF(INDIRECT("'"&amp;$E$3&amp;"'!G9"),"YES")+COUNTIF(INDIRECT("'"&amp;$F$3&amp;"'!G9"),"YES")+COUNTIF(INDIRECT("'"&amp;$G$3&amp;"'!G9"),"YES")+COUNTIF(INDIRECT("'"&amp;$H$3&amp;"'!G9"),"YES")+COUNTIF(INDIRECT("'"&amp;$I$3&amp;"'!G9"),"YES"))/8,0)</f>
        <v>0</v>
      </c>
      <c r="H11" s="16" t="n">
        <f aca="true">IFERROR((COUNTIF(INDIRECT("'"&amp;$B$3&amp;"'!H9"),"YES")+COUNTIF(INDIRECT("'"&amp;$C$3&amp;"'!H9"),"YES")+COUNTIF(INDIRECT("'"&amp;$D$3&amp;"'!H9"),"YES")+COUNTIF(INDIRECT("'"&amp;$E$3&amp;"'!H9"),"YES")+COUNTIF(INDIRECT("'"&amp;$F$3&amp;"'!H9"),"YES")+COUNTIF(INDIRECT("'"&amp;$G$3&amp;"'!H9"),"YES")+COUNTIF(INDIRECT("'"&amp;$H$3&amp;"'!H9"),"YES")+COUNTIF(INDIRECT("'"&amp;$I$3&amp;"'!H9"),"YES"))/8,0)</f>
        <v>0</v>
      </c>
      <c r="I11" s="16" t="n">
        <f aca="true">IFERROR((COUNTIF(INDIRECT("'"&amp;$B$3&amp;"'!I9"),"YES")+COUNTIF(INDIRECT("'"&amp;$C$3&amp;"'!I9"),"YES")+COUNTIF(INDIRECT("'"&amp;$D$3&amp;"'!I9"),"YES")+COUNTIF(INDIRECT("'"&amp;$E$3&amp;"'!I9"),"YES")+COUNTIF(INDIRECT("'"&amp;$F$3&amp;"'!I9"),"YES")+COUNTIF(INDIRECT("'"&amp;$G$3&amp;"'!I9"),"YES")+COUNTIF(INDIRECT("'"&amp;$H$3&amp;"'!I9"),"YES")+COUNTIF(INDIRECT("'"&amp;$I$3&amp;"'!I9"),"YES"))/8,0)</f>
        <v>0</v>
      </c>
      <c r="J11" s="16" t="n">
        <f aca="true">IFERROR((COUNTIF(INDIRECT("'"&amp;$B$3&amp;"'!J9"),"YES")+COUNTIF(INDIRECT("'"&amp;$C$3&amp;"'!J9"),"YES")+COUNTIF(INDIRECT("'"&amp;$D$3&amp;"'!J9"),"YES")+COUNTIF(INDIRECT("'"&amp;$E$3&amp;"'!J9"),"YES")+COUNTIF(INDIRECT("'"&amp;$F$3&amp;"'!J9"),"YES")+COUNTIF(INDIRECT("'"&amp;$G$3&amp;"'!J9"),"YES")+COUNTIF(INDIRECT("'"&amp;$H$3&amp;"'!J9"),"YES")+COUNTIF(INDIRECT("'"&amp;$I$3&amp;"'!J9"),"YES"))/8,0)</f>
        <v>0</v>
      </c>
      <c r="K11" s="16" t="n">
        <f aca="true">IFERROR((COUNTIF(INDIRECT("'"&amp;$B$3&amp;"'!K9"),"YES")+COUNTIF(INDIRECT("'"&amp;$C$3&amp;"'!K9"),"YES")+COUNTIF(INDIRECT("'"&amp;$D$3&amp;"'!K9"),"YES")+COUNTIF(INDIRECT("'"&amp;$E$3&amp;"'!K9"),"YES")+COUNTIF(INDIRECT("'"&amp;$F$3&amp;"'!K9"),"YES")+COUNTIF(INDIRECT("'"&amp;$G$3&amp;"'!K9"),"YES")+COUNTIF(INDIRECT("'"&amp;$H$3&amp;"'!K9"),"YES")+COUNTIF(INDIRECT("'"&amp;$I$3&amp;"'!K9"),"YES"))/8,0)</f>
        <v>0</v>
      </c>
      <c r="L11" s="16" t="n">
        <f aca="true">IFERROR((COUNTIF(INDIRECT("'"&amp;$B$3&amp;"'!L9"),"YES")+COUNTIF(INDIRECT("'"&amp;$C$3&amp;"'!L9"),"YES")+COUNTIF(INDIRECT("'"&amp;$D$3&amp;"'!L9"),"YES")+COUNTIF(INDIRECT("'"&amp;$E$3&amp;"'!L9"),"YES")+COUNTIF(INDIRECT("'"&amp;$F$3&amp;"'!L9"),"YES")+COUNTIF(INDIRECT("'"&amp;$G$3&amp;"'!L9"),"YES")+COUNTIF(INDIRECT("'"&amp;$H$3&amp;"'!L9"),"YES")+COUNTIF(INDIRECT("'"&amp;$I$3&amp;"'!L9"),"YES"))/8,0)</f>
        <v>0</v>
      </c>
      <c r="M11" s="17" t="n">
        <f aca="false">IFERROR((J11*3)+(G11*1)+(H11*2)+(I11*2)-(L11*2),0)</f>
        <v>0</v>
      </c>
      <c r="N11" s="7"/>
    </row>
    <row r="12" customFormat="false" ht="15" hidden="false" customHeight="false" outlineLevel="0" collapsed="false">
      <c r="A12" s="5" t="n">
        <v>7</v>
      </c>
      <c r="B12" s="5" t="s">
        <v>27</v>
      </c>
      <c r="C12" s="5" t="s">
        <v>48</v>
      </c>
      <c r="D12" s="5" t="s">
        <v>49</v>
      </c>
      <c r="E12" s="14" t="n">
        <f aca="true">IFERROR((COUNTIF(INDIRECT("'"&amp;$B$3&amp;"'!E10"),"YES")+COUNTIF(INDIRECT("'"&amp;$C$3&amp;"'!E10"),"YES")+COUNTIF(INDIRECT("'"&amp;$D$3&amp;"'!E10"),"YES")+COUNTIF(INDIRECT("'"&amp;$E$3&amp;"'!E10"),"YES")+COUNTIF(INDIRECT("'"&amp;$F$3&amp;"'!E10"),"YES")+COUNTIF(INDIRECT("'"&amp;$G$3&amp;"'!E10"),"YES")+COUNTIF(INDIRECT("'"&amp;$H$3&amp;"'!E10"),"YES")+COUNTIF(INDIRECT("'"&amp;$I$3&amp;"'!E10"),"YES"))/8,0)</f>
        <v>0</v>
      </c>
      <c r="F12" s="15" t="n">
        <f aca="true">IFERROR((IFERROR(VALUE(SUBSTITUTE(INDIRECT("'"&amp;$B$3&amp;"'!F10"),"5+","5")),0)+IFERROR(VALUE(SUBSTITUTE(INDIRECT("'"&amp;$C$3&amp;"'!F10"),"5+","5")),0)+IFERROR(VALUE(SUBSTITUTE(INDIRECT("'"&amp;$D$3&amp;"'!F10"),"5+","5")),0)+IFERROR(VALUE(SUBSTITUTE(INDIRECT("'"&amp;$E$3&amp;"'!F10"),"5+","5")),0)+IFERROR(VALUE(SUBSTITUTE(INDIRECT("'"&amp;$F$3&amp;"'!F10"),"5+","5")),0)+IFERROR(VALUE(SUBSTITUTE(INDIRECT("'"&amp;$G$3&amp;"'!F10"),"5+","5")),0)+IFERROR(VALUE(SUBSTITUTE(INDIRECT("'"&amp;$H$3&amp;"'!F10"),"5+","5")),0)+IFERROR(VALUE(SUBSTITUTE(INDIRECT("'"&amp;$I$3&amp;"'!F10"),"5+","5")),0))/8,0)</f>
        <v>0</v>
      </c>
      <c r="G12" s="14" t="n">
        <f aca="true">IFERROR((COUNTIF(INDIRECT("'"&amp;$B$3&amp;"'!G10"),"YES")+COUNTIF(INDIRECT("'"&amp;$C$3&amp;"'!G10"),"YES")+COUNTIF(INDIRECT("'"&amp;$D$3&amp;"'!G10"),"YES")+COUNTIF(INDIRECT("'"&amp;$E$3&amp;"'!G10"),"YES")+COUNTIF(INDIRECT("'"&amp;$F$3&amp;"'!G10"),"YES")+COUNTIF(INDIRECT("'"&amp;$G$3&amp;"'!G10"),"YES")+COUNTIF(INDIRECT("'"&amp;$H$3&amp;"'!G10"),"YES")+COUNTIF(INDIRECT("'"&amp;$I$3&amp;"'!G10"),"YES"))/8,0)</f>
        <v>0</v>
      </c>
      <c r="H12" s="14" t="n">
        <f aca="true">IFERROR((COUNTIF(INDIRECT("'"&amp;$B$3&amp;"'!H10"),"YES")+COUNTIF(INDIRECT("'"&amp;$C$3&amp;"'!H10"),"YES")+COUNTIF(INDIRECT("'"&amp;$D$3&amp;"'!H10"),"YES")+COUNTIF(INDIRECT("'"&amp;$E$3&amp;"'!H10"),"YES")+COUNTIF(INDIRECT("'"&amp;$F$3&amp;"'!H10"),"YES")+COUNTIF(INDIRECT("'"&amp;$G$3&amp;"'!H10"),"YES")+COUNTIF(INDIRECT("'"&amp;$H$3&amp;"'!H10"),"YES")+COUNTIF(INDIRECT("'"&amp;$I$3&amp;"'!H10"),"YES"))/8,0)</f>
        <v>0</v>
      </c>
      <c r="I12" s="14" t="n">
        <f aca="true">IFERROR((COUNTIF(INDIRECT("'"&amp;$B$3&amp;"'!I10"),"YES")+COUNTIF(INDIRECT("'"&amp;$C$3&amp;"'!I10"),"YES")+COUNTIF(INDIRECT("'"&amp;$D$3&amp;"'!I10"),"YES")+COUNTIF(INDIRECT("'"&amp;$E$3&amp;"'!I10"),"YES")+COUNTIF(INDIRECT("'"&amp;$F$3&amp;"'!I10"),"YES")+COUNTIF(INDIRECT("'"&amp;$G$3&amp;"'!I10"),"YES")+COUNTIF(INDIRECT("'"&amp;$H$3&amp;"'!I10"),"YES")+COUNTIF(INDIRECT("'"&amp;$I$3&amp;"'!I10"),"YES"))/8,0)</f>
        <v>0</v>
      </c>
      <c r="J12" s="14" t="n">
        <f aca="true">IFERROR((COUNTIF(INDIRECT("'"&amp;$B$3&amp;"'!J10"),"YES")+COUNTIF(INDIRECT("'"&amp;$C$3&amp;"'!J10"),"YES")+COUNTIF(INDIRECT("'"&amp;$D$3&amp;"'!J10"),"YES")+COUNTIF(INDIRECT("'"&amp;$E$3&amp;"'!J10"),"YES")+COUNTIF(INDIRECT("'"&amp;$F$3&amp;"'!J10"),"YES")+COUNTIF(INDIRECT("'"&amp;$G$3&amp;"'!J10"),"YES")+COUNTIF(INDIRECT("'"&amp;$H$3&amp;"'!J10"),"YES")+COUNTIF(INDIRECT("'"&amp;$I$3&amp;"'!J10"),"YES"))/8,0)</f>
        <v>0</v>
      </c>
      <c r="K12" s="14" t="n">
        <f aca="true">IFERROR((COUNTIF(INDIRECT("'"&amp;$B$3&amp;"'!K10"),"YES")+COUNTIF(INDIRECT("'"&amp;$C$3&amp;"'!K10"),"YES")+COUNTIF(INDIRECT("'"&amp;$D$3&amp;"'!K10"),"YES")+COUNTIF(INDIRECT("'"&amp;$E$3&amp;"'!K10"),"YES")+COUNTIF(INDIRECT("'"&amp;$F$3&amp;"'!K10"),"YES")+COUNTIF(INDIRECT("'"&amp;$G$3&amp;"'!K10"),"YES")+COUNTIF(INDIRECT("'"&amp;$H$3&amp;"'!K10"),"YES")+COUNTIF(INDIRECT("'"&amp;$I$3&amp;"'!K10"),"YES"))/8,0)</f>
        <v>0</v>
      </c>
      <c r="L12" s="14" t="n">
        <f aca="true">IFERROR((COUNTIF(INDIRECT("'"&amp;$B$3&amp;"'!L10"),"YES")+COUNTIF(INDIRECT("'"&amp;$C$3&amp;"'!L10"),"YES")+COUNTIF(INDIRECT("'"&amp;$D$3&amp;"'!L10"),"YES")+COUNTIF(INDIRECT("'"&amp;$E$3&amp;"'!L10"),"YES")+COUNTIF(INDIRECT("'"&amp;$F$3&amp;"'!L10"),"YES")+COUNTIF(INDIRECT("'"&amp;$G$3&amp;"'!L10"),"YES")+COUNTIF(INDIRECT("'"&amp;$H$3&amp;"'!L10"),"YES")+COUNTIF(INDIRECT("'"&amp;$I$3&amp;"'!L10"),"YES"))/8,0)</f>
        <v>0</v>
      </c>
      <c r="M12" s="15" t="n">
        <f aca="false">IFERROR((J12*3)+(G12*1)+(H12*2)+(I12*2)-(L12*2),0)</f>
        <v>0</v>
      </c>
      <c r="N12" s="5"/>
    </row>
    <row r="13" customFormat="false" ht="15" hidden="false" customHeight="false" outlineLevel="0" collapsed="false">
      <c r="A13" s="7" t="n">
        <v>8</v>
      </c>
      <c r="B13" s="7" t="s">
        <v>27</v>
      </c>
      <c r="C13" s="7" t="s">
        <v>51</v>
      </c>
      <c r="D13" s="7" t="s">
        <v>52</v>
      </c>
      <c r="E13" s="16" t="n">
        <f aca="true">IFERROR((COUNTIF(INDIRECT("'"&amp;$B$3&amp;"'!E11"),"YES")+COUNTIF(INDIRECT("'"&amp;$C$3&amp;"'!E11"),"YES")+COUNTIF(INDIRECT("'"&amp;$D$3&amp;"'!E11"),"YES")+COUNTIF(INDIRECT("'"&amp;$E$3&amp;"'!E11"),"YES")+COUNTIF(INDIRECT("'"&amp;$F$3&amp;"'!E11"),"YES")+COUNTIF(INDIRECT("'"&amp;$G$3&amp;"'!E11"),"YES")+COUNTIF(INDIRECT("'"&amp;$H$3&amp;"'!E11"),"YES")+COUNTIF(INDIRECT("'"&amp;$I$3&amp;"'!E11"),"YES"))/8,0)</f>
        <v>0</v>
      </c>
      <c r="F13" s="17" t="n">
        <f aca="true">IFERROR((IFERROR(VALUE(SUBSTITUTE(INDIRECT("'"&amp;$B$3&amp;"'!F11"),"5+","5")),0)+IFERROR(VALUE(SUBSTITUTE(INDIRECT("'"&amp;$C$3&amp;"'!F11"),"5+","5")),0)+IFERROR(VALUE(SUBSTITUTE(INDIRECT("'"&amp;$D$3&amp;"'!F11"),"5+","5")),0)+IFERROR(VALUE(SUBSTITUTE(INDIRECT("'"&amp;$E$3&amp;"'!F11"),"5+","5")),0)+IFERROR(VALUE(SUBSTITUTE(INDIRECT("'"&amp;$F$3&amp;"'!F11"),"5+","5")),0)+IFERROR(VALUE(SUBSTITUTE(INDIRECT("'"&amp;$G$3&amp;"'!F11"),"5+","5")),0)+IFERROR(VALUE(SUBSTITUTE(INDIRECT("'"&amp;$H$3&amp;"'!F11"),"5+","5")),0)+IFERROR(VALUE(SUBSTITUTE(INDIRECT("'"&amp;$I$3&amp;"'!F11"),"5+","5")),0))/8,0)</f>
        <v>0</v>
      </c>
      <c r="G13" s="16" t="n">
        <f aca="true">IFERROR((COUNTIF(INDIRECT("'"&amp;$B$3&amp;"'!G11"),"YES")+COUNTIF(INDIRECT("'"&amp;$C$3&amp;"'!G11"),"YES")+COUNTIF(INDIRECT("'"&amp;$D$3&amp;"'!G11"),"YES")+COUNTIF(INDIRECT("'"&amp;$E$3&amp;"'!G11"),"YES")+COUNTIF(INDIRECT("'"&amp;$F$3&amp;"'!G11"),"YES")+COUNTIF(INDIRECT("'"&amp;$G$3&amp;"'!G11"),"YES")+COUNTIF(INDIRECT("'"&amp;$H$3&amp;"'!G11"),"YES")+COUNTIF(INDIRECT("'"&amp;$I$3&amp;"'!G11"),"YES"))/8,0)</f>
        <v>0</v>
      </c>
      <c r="H13" s="16" t="n">
        <f aca="true">IFERROR((COUNTIF(INDIRECT("'"&amp;$B$3&amp;"'!H11"),"YES")+COUNTIF(INDIRECT("'"&amp;$C$3&amp;"'!H11"),"YES")+COUNTIF(INDIRECT("'"&amp;$D$3&amp;"'!H11"),"YES")+COUNTIF(INDIRECT("'"&amp;$E$3&amp;"'!H11"),"YES")+COUNTIF(INDIRECT("'"&amp;$F$3&amp;"'!H11"),"YES")+COUNTIF(INDIRECT("'"&amp;$G$3&amp;"'!H11"),"YES")+COUNTIF(INDIRECT("'"&amp;$H$3&amp;"'!H11"),"YES")+COUNTIF(INDIRECT("'"&amp;$I$3&amp;"'!H11"),"YES"))/8,0)</f>
        <v>0</v>
      </c>
      <c r="I13" s="16" t="n">
        <f aca="true">IFERROR((COUNTIF(INDIRECT("'"&amp;$B$3&amp;"'!I11"),"YES")+COUNTIF(INDIRECT("'"&amp;$C$3&amp;"'!I11"),"YES")+COUNTIF(INDIRECT("'"&amp;$D$3&amp;"'!I11"),"YES")+COUNTIF(INDIRECT("'"&amp;$E$3&amp;"'!I11"),"YES")+COUNTIF(INDIRECT("'"&amp;$F$3&amp;"'!I11"),"YES")+COUNTIF(INDIRECT("'"&amp;$G$3&amp;"'!I11"),"YES")+COUNTIF(INDIRECT("'"&amp;$H$3&amp;"'!I11"),"YES")+COUNTIF(INDIRECT("'"&amp;$I$3&amp;"'!I11"),"YES"))/8,0)</f>
        <v>0</v>
      </c>
      <c r="J13" s="16" t="n">
        <f aca="true">IFERROR((COUNTIF(INDIRECT("'"&amp;$B$3&amp;"'!J11"),"YES")+COUNTIF(INDIRECT("'"&amp;$C$3&amp;"'!J11"),"YES")+COUNTIF(INDIRECT("'"&amp;$D$3&amp;"'!J11"),"YES")+COUNTIF(INDIRECT("'"&amp;$E$3&amp;"'!J11"),"YES")+COUNTIF(INDIRECT("'"&amp;$F$3&amp;"'!J11"),"YES")+COUNTIF(INDIRECT("'"&amp;$G$3&amp;"'!J11"),"YES")+COUNTIF(INDIRECT("'"&amp;$H$3&amp;"'!J11"),"YES")+COUNTIF(INDIRECT("'"&amp;$I$3&amp;"'!J11"),"YES"))/8,0)</f>
        <v>0</v>
      </c>
      <c r="K13" s="16" t="n">
        <f aca="true">IFERROR((COUNTIF(INDIRECT("'"&amp;$B$3&amp;"'!K11"),"YES")+COUNTIF(INDIRECT("'"&amp;$C$3&amp;"'!K11"),"YES")+COUNTIF(INDIRECT("'"&amp;$D$3&amp;"'!K11"),"YES")+COUNTIF(INDIRECT("'"&amp;$E$3&amp;"'!K11"),"YES")+COUNTIF(INDIRECT("'"&amp;$F$3&amp;"'!K11"),"YES")+COUNTIF(INDIRECT("'"&amp;$G$3&amp;"'!K11"),"YES")+COUNTIF(INDIRECT("'"&amp;$H$3&amp;"'!K11"),"YES")+COUNTIF(INDIRECT("'"&amp;$I$3&amp;"'!K11"),"YES"))/8,0)</f>
        <v>0</v>
      </c>
      <c r="L13" s="16" t="n">
        <f aca="true">IFERROR((COUNTIF(INDIRECT("'"&amp;$B$3&amp;"'!L11"),"YES")+COUNTIF(INDIRECT("'"&amp;$C$3&amp;"'!L11"),"YES")+COUNTIF(INDIRECT("'"&amp;$D$3&amp;"'!L11"),"YES")+COUNTIF(INDIRECT("'"&amp;$E$3&amp;"'!L11"),"YES")+COUNTIF(INDIRECT("'"&amp;$F$3&amp;"'!L11"),"YES")+COUNTIF(INDIRECT("'"&amp;$G$3&amp;"'!L11"),"YES")+COUNTIF(INDIRECT("'"&amp;$H$3&amp;"'!L11"),"YES")+COUNTIF(INDIRECT("'"&amp;$I$3&amp;"'!L11"),"YES"))/8,0)</f>
        <v>0</v>
      </c>
      <c r="M13" s="17" t="n">
        <f aca="false">IFERROR((J13*3)+(G13*1)+(H13*2)+(I13*2)-(L13*2),0)</f>
        <v>0</v>
      </c>
      <c r="N13" s="7"/>
    </row>
    <row r="14" customFormat="false" ht="15" hidden="false" customHeight="false" outlineLevel="0" collapsed="false">
      <c r="A14" s="5" t="n">
        <v>9</v>
      </c>
      <c r="B14" s="5" t="s">
        <v>27</v>
      </c>
      <c r="C14" s="5" t="s">
        <v>54</v>
      </c>
      <c r="D14" s="5" t="s">
        <v>55</v>
      </c>
      <c r="E14" s="14" t="n">
        <f aca="true">IFERROR((COUNTIF(INDIRECT("'"&amp;$B$3&amp;"'!E12"),"YES")+COUNTIF(INDIRECT("'"&amp;$C$3&amp;"'!E12"),"YES")+COUNTIF(INDIRECT("'"&amp;$D$3&amp;"'!E12"),"YES")+COUNTIF(INDIRECT("'"&amp;$E$3&amp;"'!E12"),"YES")+COUNTIF(INDIRECT("'"&amp;$F$3&amp;"'!E12"),"YES")+COUNTIF(INDIRECT("'"&amp;$G$3&amp;"'!E12"),"YES")+COUNTIF(INDIRECT("'"&amp;$H$3&amp;"'!E12"),"YES")+COUNTIF(INDIRECT("'"&amp;$I$3&amp;"'!E12"),"YES"))/8,0)</f>
        <v>0</v>
      </c>
      <c r="F14" s="15" t="n">
        <f aca="true">IFERROR((IFERROR(VALUE(SUBSTITUTE(INDIRECT("'"&amp;$B$3&amp;"'!F12"),"5+","5")),0)+IFERROR(VALUE(SUBSTITUTE(INDIRECT("'"&amp;$C$3&amp;"'!F12"),"5+","5")),0)+IFERROR(VALUE(SUBSTITUTE(INDIRECT("'"&amp;$D$3&amp;"'!F12"),"5+","5")),0)+IFERROR(VALUE(SUBSTITUTE(INDIRECT("'"&amp;$E$3&amp;"'!F12"),"5+","5")),0)+IFERROR(VALUE(SUBSTITUTE(INDIRECT("'"&amp;$F$3&amp;"'!F12"),"5+","5")),0)+IFERROR(VALUE(SUBSTITUTE(INDIRECT("'"&amp;$G$3&amp;"'!F12"),"5+","5")),0)+IFERROR(VALUE(SUBSTITUTE(INDIRECT("'"&amp;$H$3&amp;"'!F12"),"5+","5")),0)+IFERROR(VALUE(SUBSTITUTE(INDIRECT("'"&amp;$I$3&amp;"'!F12"),"5+","5")),0))/8,0)</f>
        <v>0</v>
      </c>
      <c r="G14" s="14" t="n">
        <f aca="true">IFERROR((COUNTIF(INDIRECT("'"&amp;$B$3&amp;"'!G12"),"YES")+COUNTIF(INDIRECT("'"&amp;$C$3&amp;"'!G12"),"YES")+COUNTIF(INDIRECT("'"&amp;$D$3&amp;"'!G12"),"YES")+COUNTIF(INDIRECT("'"&amp;$E$3&amp;"'!G12"),"YES")+COUNTIF(INDIRECT("'"&amp;$F$3&amp;"'!G12"),"YES")+COUNTIF(INDIRECT("'"&amp;$G$3&amp;"'!G12"),"YES")+COUNTIF(INDIRECT("'"&amp;$H$3&amp;"'!G12"),"YES")+COUNTIF(INDIRECT("'"&amp;$I$3&amp;"'!G12"),"YES"))/8,0)</f>
        <v>0</v>
      </c>
      <c r="H14" s="14" t="n">
        <f aca="true">IFERROR((COUNTIF(INDIRECT("'"&amp;$B$3&amp;"'!H12"),"YES")+COUNTIF(INDIRECT("'"&amp;$C$3&amp;"'!H12"),"YES")+COUNTIF(INDIRECT("'"&amp;$D$3&amp;"'!H12"),"YES")+COUNTIF(INDIRECT("'"&amp;$E$3&amp;"'!H12"),"YES")+COUNTIF(INDIRECT("'"&amp;$F$3&amp;"'!H12"),"YES")+COUNTIF(INDIRECT("'"&amp;$G$3&amp;"'!H12"),"YES")+COUNTIF(INDIRECT("'"&amp;$H$3&amp;"'!H12"),"YES")+COUNTIF(INDIRECT("'"&amp;$I$3&amp;"'!H12"),"YES"))/8,0)</f>
        <v>0</v>
      </c>
      <c r="I14" s="14" t="n">
        <f aca="true">IFERROR((COUNTIF(INDIRECT("'"&amp;$B$3&amp;"'!I12"),"YES")+COUNTIF(INDIRECT("'"&amp;$C$3&amp;"'!I12"),"YES")+COUNTIF(INDIRECT("'"&amp;$D$3&amp;"'!I12"),"YES")+COUNTIF(INDIRECT("'"&amp;$E$3&amp;"'!I12"),"YES")+COUNTIF(INDIRECT("'"&amp;$F$3&amp;"'!I12"),"YES")+COUNTIF(INDIRECT("'"&amp;$G$3&amp;"'!I12"),"YES")+COUNTIF(INDIRECT("'"&amp;$H$3&amp;"'!I12"),"YES")+COUNTIF(INDIRECT("'"&amp;$I$3&amp;"'!I12"),"YES"))/8,0)</f>
        <v>0</v>
      </c>
      <c r="J14" s="14" t="n">
        <f aca="true">IFERROR((COUNTIF(INDIRECT("'"&amp;$B$3&amp;"'!J12"),"YES")+COUNTIF(INDIRECT("'"&amp;$C$3&amp;"'!J12"),"YES")+COUNTIF(INDIRECT("'"&amp;$D$3&amp;"'!J12"),"YES")+COUNTIF(INDIRECT("'"&amp;$E$3&amp;"'!J12"),"YES")+COUNTIF(INDIRECT("'"&amp;$F$3&amp;"'!J12"),"YES")+COUNTIF(INDIRECT("'"&amp;$G$3&amp;"'!J12"),"YES")+COUNTIF(INDIRECT("'"&amp;$H$3&amp;"'!J12"),"YES")+COUNTIF(INDIRECT("'"&amp;$I$3&amp;"'!J12"),"YES"))/8,0)</f>
        <v>0</v>
      </c>
      <c r="K14" s="14" t="n">
        <f aca="true">IFERROR((COUNTIF(INDIRECT("'"&amp;$B$3&amp;"'!K12"),"YES")+COUNTIF(INDIRECT("'"&amp;$C$3&amp;"'!K12"),"YES")+COUNTIF(INDIRECT("'"&amp;$D$3&amp;"'!K12"),"YES")+COUNTIF(INDIRECT("'"&amp;$E$3&amp;"'!K12"),"YES")+COUNTIF(INDIRECT("'"&amp;$F$3&amp;"'!K12"),"YES")+COUNTIF(INDIRECT("'"&amp;$G$3&amp;"'!K12"),"YES")+COUNTIF(INDIRECT("'"&amp;$H$3&amp;"'!K12"),"YES")+COUNTIF(INDIRECT("'"&amp;$I$3&amp;"'!K12"),"YES"))/8,0)</f>
        <v>0</v>
      </c>
      <c r="L14" s="14" t="n">
        <f aca="true">IFERROR((COUNTIF(INDIRECT("'"&amp;$B$3&amp;"'!L12"),"YES")+COUNTIF(INDIRECT("'"&amp;$C$3&amp;"'!L12"),"YES")+COUNTIF(INDIRECT("'"&amp;$D$3&amp;"'!L12"),"YES")+COUNTIF(INDIRECT("'"&amp;$E$3&amp;"'!L12"),"YES")+COUNTIF(INDIRECT("'"&amp;$F$3&amp;"'!L12"),"YES")+COUNTIF(INDIRECT("'"&amp;$G$3&amp;"'!L12"),"YES")+COUNTIF(INDIRECT("'"&amp;$H$3&amp;"'!L12"),"YES")+COUNTIF(INDIRECT("'"&amp;$I$3&amp;"'!L12"),"YES"))/8,0)</f>
        <v>0</v>
      </c>
      <c r="M14" s="15" t="n">
        <f aca="false">IFERROR((J14*3)+(G14*1)+(H14*2)+(I14*2)-(L14*2),0)</f>
        <v>0</v>
      </c>
      <c r="N14" s="5"/>
    </row>
    <row r="15" customFormat="false" ht="15" hidden="false" customHeight="false" outlineLevel="0" collapsed="false">
      <c r="A15" s="7" t="n">
        <v>10</v>
      </c>
      <c r="B15" s="7" t="s">
        <v>27</v>
      </c>
      <c r="C15" s="7" t="s">
        <v>56</v>
      </c>
      <c r="D15" s="7" t="s">
        <v>57</v>
      </c>
      <c r="E15" s="16" t="n">
        <f aca="true">IFERROR((COUNTIF(INDIRECT("'"&amp;$B$3&amp;"'!E13"),"YES")+COUNTIF(INDIRECT("'"&amp;$C$3&amp;"'!E13"),"YES")+COUNTIF(INDIRECT("'"&amp;$D$3&amp;"'!E13"),"YES")+COUNTIF(INDIRECT("'"&amp;$E$3&amp;"'!E13"),"YES")+COUNTIF(INDIRECT("'"&amp;$F$3&amp;"'!E13"),"YES")+COUNTIF(INDIRECT("'"&amp;$G$3&amp;"'!E13"),"YES")+COUNTIF(INDIRECT("'"&amp;$H$3&amp;"'!E13"),"YES")+COUNTIF(INDIRECT("'"&amp;$I$3&amp;"'!E13"),"YES"))/8,0)</f>
        <v>0</v>
      </c>
      <c r="F15" s="17" t="n">
        <f aca="true">IFERROR((IFERROR(VALUE(SUBSTITUTE(INDIRECT("'"&amp;$B$3&amp;"'!F13"),"5+","5")),0)+IFERROR(VALUE(SUBSTITUTE(INDIRECT("'"&amp;$C$3&amp;"'!F13"),"5+","5")),0)+IFERROR(VALUE(SUBSTITUTE(INDIRECT("'"&amp;$D$3&amp;"'!F13"),"5+","5")),0)+IFERROR(VALUE(SUBSTITUTE(INDIRECT("'"&amp;$E$3&amp;"'!F13"),"5+","5")),0)+IFERROR(VALUE(SUBSTITUTE(INDIRECT("'"&amp;$F$3&amp;"'!F13"),"5+","5")),0)+IFERROR(VALUE(SUBSTITUTE(INDIRECT("'"&amp;$G$3&amp;"'!F13"),"5+","5")),0)+IFERROR(VALUE(SUBSTITUTE(INDIRECT("'"&amp;$H$3&amp;"'!F13"),"5+","5")),0)+IFERROR(VALUE(SUBSTITUTE(INDIRECT("'"&amp;$I$3&amp;"'!F13"),"5+","5")),0))/8,0)</f>
        <v>0</v>
      </c>
      <c r="G15" s="16" t="n">
        <f aca="true">IFERROR((COUNTIF(INDIRECT("'"&amp;$B$3&amp;"'!G13"),"YES")+COUNTIF(INDIRECT("'"&amp;$C$3&amp;"'!G13"),"YES")+COUNTIF(INDIRECT("'"&amp;$D$3&amp;"'!G13"),"YES")+COUNTIF(INDIRECT("'"&amp;$E$3&amp;"'!G13"),"YES")+COUNTIF(INDIRECT("'"&amp;$F$3&amp;"'!G13"),"YES")+COUNTIF(INDIRECT("'"&amp;$G$3&amp;"'!G13"),"YES")+COUNTIF(INDIRECT("'"&amp;$H$3&amp;"'!G13"),"YES")+COUNTIF(INDIRECT("'"&amp;$I$3&amp;"'!G13"),"YES"))/8,0)</f>
        <v>0</v>
      </c>
      <c r="H15" s="16" t="n">
        <f aca="true">IFERROR((COUNTIF(INDIRECT("'"&amp;$B$3&amp;"'!H13"),"YES")+COUNTIF(INDIRECT("'"&amp;$C$3&amp;"'!H13"),"YES")+COUNTIF(INDIRECT("'"&amp;$D$3&amp;"'!H13"),"YES")+COUNTIF(INDIRECT("'"&amp;$E$3&amp;"'!H13"),"YES")+COUNTIF(INDIRECT("'"&amp;$F$3&amp;"'!H13"),"YES")+COUNTIF(INDIRECT("'"&amp;$G$3&amp;"'!H13"),"YES")+COUNTIF(INDIRECT("'"&amp;$H$3&amp;"'!H13"),"YES")+COUNTIF(INDIRECT("'"&amp;$I$3&amp;"'!H13"),"YES"))/8,0)</f>
        <v>0</v>
      </c>
      <c r="I15" s="16" t="n">
        <f aca="true">IFERROR((COUNTIF(INDIRECT("'"&amp;$B$3&amp;"'!I13"),"YES")+COUNTIF(INDIRECT("'"&amp;$C$3&amp;"'!I13"),"YES")+COUNTIF(INDIRECT("'"&amp;$D$3&amp;"'!I13"),"YES")+COUNTIF(INDIRECT("'"&amp;$E$3&amp;"'!I13"),"YES")+COUNTIF(INDIRECT("'"&amp;$F$3&amp;"'!I13"),"YES")+COUNTIF(INDIRECT("'"&amp;$G$3&amp;"'!I13"),"YES")+COUNTIF(INDIRECT("'"&amp;$H$3&amp;"'!I13"),"YES")+COUNTIF(INDIRECT("'"&amp;$I$3&amp;"'!I13"),"YES"))/8,0)</f>
        <v>0</v>
      </c>
      <c r="J15" s="16" t="n">
        <f aca="true">IFERROR((COUNTIF(INDIRECT("'"&amp;$B$3&amp;"'!J13"),"YES")+COUNTIF(INDIRECT("'"&amp;$C$3&amp;"'!J13"),"YES")+COUNTIF(INDIRECT("'"&amp;$D$3&amp;"'!J13"),"YES")+COUNTIF(INDIRECT("'"&amp;$E$3&amp;"'!J13"),"YES")+COUNTIF(INDIRECT("'"&amp;$F$3&amp;"'!J13"),"YES")+COUNTIF(INDIRECT("'"&amp;$G$3&amp;"'!J13"),"YES")+COUNTIF(INDIRECT("'"&amp;$H$3&amp;"'!J13"),"YES")+COUNTIF(INDIRECT("'"&amp;$I$3&amp;"'!J13"),"YES"))/8,0)</f>
        <v>0</v>
      </c>
      <c r="K15" s="16" t="n">
        <f aca="true">IFERROR((COUNTIF(INDIRECT("'"&amp;$B$3&amp;"'!K13"),"YES")+COUNTIF(INDIRECT("'"&amp;$C$3&amp;"'!K13"),"YES")+COUNTIF(INDIRECT("'"&amp;$D$3&amp;"'!K13"),"YES")+COUNTIF(INDIRECT("'"&amp;$E$3&amp;"'!K13"),"YES")+COUNTIF(INDIRECT("'"&amp;$F$3&amp;"'!K13"),"YES")+COUNTIF(INDIRECT("'"&amp;$G$3&amp;"'!K13"),"YES")+COUNTIF(INDIRECT("'"&amp;$H$3&amp;"'!K13"),"YES")+COUNTIF(INDIRECT("'"&amp;$I$3&amp;"'!K13"),"YES"))/8,0)</f>
        <v>0</v>
      </c>
      <c r="L15" s="16" t="n">
        <f aca="true">IFERROR((COUNTIF(INDIRECT("'"&amp;$B$3&amp;"'!L13"),"YES")+COUNTIF(INDIRECT("'"&amp;$C$3&amp;"'!L13"),"YES")+COUNTIF(INDIRECT("'"&amp;$D$3&amp;"'!L13"),"YES")+COUNTIF(INDIRECT("'"&amp;$E$3&amp;"'!L13"),"YES")+COUNTIF(INDIRECT("'"&amp;$F$3&amp;"'!L13"),"YES")+COUNTIF(INDIRECT("'"&amp;$G$3&amp;"'!L13"),"YES")+COUNTIF(INDIRECT("'"&amp;$H$3&amp;"'!L13"),"YES")+COUNTIF(INDIRECT("'"&amp;$I$3&amp;"'!L13"),"YES"))/8,0)</f>
        <v>0</v>
      </c>
      <c r="M15" s="17" t="n">
        <f aca="false">IFERROR((J15*3)+(G15*1)+(H15*2)+(I15*2)-(L15*2),0)</f>
        <v>0</v>
      </c>
      <c r="N15" s="7"/>
    </row>
    <row r="16" customFormat="false" ht="15" hidden="false" customHeight="false" outlineLevel="0" collapsed="false">
      <c r="A16" s="5" t="n">
        <v>11</v>
      </c>
      <c r="B16" s="5" t="s">
        <v>27</v>
      </c>
      <c r="C16" s="5" t="s">
        <v>58</v>
      </c>
      <c r="D16" s="5" t="s">
        <v>59</v>
      </c>
      <c r="E16" s="14" t="n">
        <f aca="true">IFERROR((COUNTIF(INDIRECT("'"&amp;$B$3&amp;"'!E14"),"YES")+COUNTIF(INDIRECT("'"&amp;$C$3&amp;"'!E14"),"YES")+COUNTIF(INDIRECT("'"&amp;$D$3&amp;"'!E14"),"YES")+COUNTIF(INDIRECT("'"&amp;$E$3&amp;"'!E14"),"YES")+COUNTIF(INDIRECT("'"&amp;$F$3&amp;"'!E14"),"YES")+COUNTIF(INDIRECT("'"&amp;$G$3&amp;"'!E14"),"YES")+COUNTIF(INDIRECT("'"&amp;$H$3&amp;"'!E14"),"YES")+COUNTIF(INDIRECT("'"&amp;$I$3&amp;"'!E14"),"YES"))/8,0)</f>
        <v>0</v>
      </c>
      <c r="F16" s="15" t="n">
        <f aca="true">IFERROR((IFERROR(VALUE(SUBSTITUTE(INDIRECT("'"&amp;$B$3&amp;"'!F14"),"5+","5")),0)+IFERROR(VALUE(SUBSTITUTE(INDIRECT("'"&amp;$C$3&amp;"'!F14"),"5+","5")),0)+IFERROR(VALUE(SUBSTITUTE(INDIRECT("'"&amp;$D$3&amp;"'!F14"),"5+","5")),0)+IFERROR(VALUE(SUBSTITUTE(INDIRECT("'"&amp;$E$3&amp;"'!F14"),"5+","5")),0)+IFERROR(VALUE(SUBSTITUTE(INDIRECT("'"&amp;$F$3&amp;"'!F14"),"5+","5")),0)+IFERROR(VALUE(SUBSTITUTE(INDIRECT("'"&amp;$G$3&amp;"'!F14"),"5+","5")),0)+IFERROR(VALUE(SUBSTITUTE(INDIRECT("'"&amp;$H$3&amp;"'!F14"),"5+","5")),0)+IFERROR(VALUE(SUBSTITUTE(INDIRECT("'"&amp;$I$3&amp;"'!F14"),"5+","5")),0))/8,0)</f>
        <v>0</v>
      </c>
      <c r="G16" s="14" t="n">
        <f aca="true">IFERROR((COUNTIF(INDIRECT("'"&amp;$B$3&amp;"'!G14"),"YES")+COUNTIF(INDIRECT("'"&amp;$C$3&amp;"'!G14"),"YES")+COUNTIF(INDIRECT("'"&amp;$D$3&amp;"'!G14"),"YES")+COUNTIF(INDIRECT("'"&amp;$E$3&amp;"'!G14"),"YES")+COUNTIF(INDIRECT("'"&amp;$F$3&amp;"'!G14"),"YES")+COUNTIF(INDIRECT("'"&amp;$G$3&amp;"'!G14"),"YES")+COUNTIF(INDIRECT("'"&amp;$H$3&amp;"'!G14"),"YES")+COUNTIF(INDIRECT("'"&amp;$I$3&amp;"'!G14"),"YES"))/8,0)</f>
        <v>0</v>
      </c>
      <c r="H16" s="14" t="n">
        <f aca="true">IFERROR((COUNTIF(INDIRECT("'"&amp;$B$3&amp;"'!H14"),"YES")+COUNTIF(INDIRECT("'"&amp;$C$3&amp;"'!H14"),"YES")+COUNTIF(INDIRECT("'"&amp;$D$3&amp;"'!H14"),"YES")+COUNTIF(INDIRECT("'"&amp;$E$3&amp;"'!H14"),"YES")+COUNTIF(INDIRECT("'"&amp;$F$3&amp;"'!H14"),"YES")+COUNTIF(INDIRECT("'"&amp;$G$3&amp;"'!H14"),"YES")+COUNTIF(INDIRECT("'"&amp;$H$3&amp;"'!H14"),"YES")+COUNTIF(INDIRECT("'"&amp;$I$3&amp;"'!H14"),"YES"))/8,0)</f>
        <v>0</v>
      </c>
      <c r="I16" s="14" t="n">
        <f aca="true">IFERROR((COUNTIF(INDIRECT("'"&amp;$B$3&amp;"'!I14"),"YES")+COUNTIF(INDIRECT("'"&amp;$C$3&amp;"'!I14"),"YES")+COUNTIF(INDIRECT("'"&amp;$D$3&amp;"'!I14"),"YES")+COUNTIF(INDIRECT("'"&amp;$E$3&amp;"'!I14"),"YES")+COUNTIF(INDIRECT("'"&amp;$F$3&amp;"'!I14"),"YES")+COUNTIF(INDIRECT("'"&amp;$G$3&amp;"'!I14"),"YES")+COUNTIF(INDIRECT("'"&amp;$H$3&amp;"'!I14"),"YES")+COUNTIF(INDIRECT("'"&amp;$I$3&amp;"'!I14"),"YES"))/8,0)</f>
        <v>0</v>
      </c>
      <c r="J16" s="14" t="n">
        <f aca="true">IFERROR((COUNTIF(INDIRECT("'"&amp;$B$3&amp;"'!J14"),"YES")+COUNTIF(INDIRECT("'"&amp;$C$3&amp;"'!J14"),"YES")+COUNTIF(INDIRECT("'"&amp;$D$3&amp;"'!J14"),"YES")+COUNTIF(INDIRECT("'"&amp;$E$3&amp;"'!J14"),"YES")+COUNTIF(INDIRECT("'"&amp;$F$3&amp;"'!J14"),"YES")+COUNTIF(INDIRECT("'"&amp;$G$3&amp;"'!J14"),"YES")+COUNTIF(INDIRECT("'"&amp;$H$3&amp;"'!J14"),"YES")+COUNTIF(INDIRECT("'"&amp;$I$3&amp;"'!J14"),"YES"))/8,0)</f>
        <v>0</v>
      </c>
      <c r="K16" s="14" t="n">
        <f aca="true">IFERROR((COUNTIF(INDIRECT("'"&amp;$B$3&amp;"'!K14"),"YES")+COUNTIF(INDIRECT("'"&amp;$C$3&amp;"'!K14"),"YES")+COUNTIF(INDIRECT("'"&amp;$D$3&amp;"'!K14"),"YES")+COUNTIF(INDIRECT("'"&amp;$E$3&amp;"'!K14"),"YES")+COUNTIF(INDIRECT("'"&amp;$F$3&amp;"'!K14"),"YES")+COUNTIF(INDIRECT("'"&amp;$G$3&amp;"'!K14"),"YES")+COUNTIF(INDIRECT("'"&amp;$H$3&amp;"'!K14"),"YES")+COUNTIF(INDIRECT("'"&amp;$I$3&amp;"'!K14"),"YES"))/8,0)</f>
        <v>0</v>
      </c>
      <c r="L16" s="14" t="n">
        <f aca="true">IFERROR((COUNTIF(INDIRECT("'"&amp;$B$3&amp;"'!L14"),"YES")+COUNTIF(INDIRECT("'"&amp;$C$3&amp;"'!L14"),"YES")+COUNTIF(INDIRECT("'"&amp;$D$3&amp;"'!L14"),"YES")+COUNTIF(INDIRECT("'"&amp;$E$3&amp;"'!L14"),"YES")+COUNTIF(INDIRECT("'"&amp;$F$3&amp;"'!L14"),"YES")+COUNTIF(INDIRECT("'"&amp;$G$3&amp;"'!L14"),"YES")+COUNTIF(INDIRECT("'"&amp;$H$3&amp;"'!L14"),"YES")+COUNTIF(INDIRECT("'"&amp;$I$3&amp;"'!L14"),"YES"))/8,0)</f>
        <v>0</v>
      </c>
      <c r="M16" s="15" t="n">
        <f aca="false">IFERROR((J16*3)+(G16*1)+(H16*2)+(I16*2)-(L16*2),0)</f>
        <v>0</v>
      </c>
      <c r="N16" s="5"/>
    </row>
    <row r="17" customFormat="false" ht="15" hidden="false" customHeight="false" outlineLevel="0" collapsed="false">
      <c r="A17" s="7" t="n">
        <v>12</v>
      </c>
      <c r="B17" s="7" t="s">
        <v>62</v>
      </c>
      <c r="C17" s="7" t="s">
        <v>28</v>
      </c>
      <c r="D17" s="7" t="s">
        <v>29</v>
      </c>
      <c r="E17" s="16" t="n">
        <f aca="true">IFERROR((COUNTIF(INDIRECT("'"&amp;$B$3&amp;"'!E15"),"YES")+COUNTIF(INDIRECT("'"&amp;$C$3&amp;"'!E15"),"YES")+COUNTIF(INDIRECT("'"&amp;$D$3&amp;"'!E15"),"YES")+COUNTIF(INDIRECT("'"&amp;$E$3&amp;"'!E15"),"YES")+COUNTIF(INDIRECT("'"&amp;$F$3&amp;"'!E15"),"YES")+COUNTIF(INDIRECT("'"&amp;$G$3&amp;"'!E15"),"YES")+COUNTIF(INDIRECT("'"&amp;$H$3&amp;"'!E15"),"YES")+COUNTIF(INDIRECT("'"&amp;$I$3&amp;"'!E15"),"YES"))/8,0)</f>
        <v>0</v>
      </c>
      <c r="F17" s="17" t="n">
        <f aca="true">IFERROR((IFERROR(VALUE(SUBSTITUTE(INDIRECT("'"&amp;$B$3&amp;"'!F15"),"5+","5")),0)+IFERROR(VALUE(SUBSTITUTE(INDIRECT("'"&amp;$C$3&amp;"'!F15"),"5+","5")),0)+IFERROR(VALUE(SUBSTITUTE(INDIRECT("'"&amp;$D$3&amp;"'!F15"),"5+","5")),0)+IFERROR(VALUE(SUBSTITUTE(INDIRECT("'"&amp;$E$3&amp;"'!F15"),"5+","5")),0)+IFERROR(VALUE(SUBSTITUTE(INDIRECT("'"&amp;$F$3&amp;"'!F15"),"5+","5")),0)+IFERROR(VALUE(SUBSTITUTE(INDIRECT("'"&amp;$G$3&amp;"'!F15"),"5+","5")),0)+IFERROR(VALUE(SUBSTITUTE(INDIRECT("'"&amp;$H$3&amp;"'!F15"),"5+","5")),0)+IFERROR(VALUE(SUBSTITUTE(INDIRECT("'"&amp;$I$3&amp;"'!F15"),"5+","5")),0))/8,0)</f>
        <v>0</v>
      </c>
      <c r="G17" s="16" t="n">
        <f aca="true">IFERROR((COUNTIF(INDIRECT("'"&amp;$B$3&amp;"'!G15"),"YES")+COUNTIF(INDIRECT("'"&amp;$C$3&amp;"'!G15"),"YES")+COUNTIF(INDIRECT("'"&amp;$D$3&amp;"'!G15"),"YES")+COUNTIF(INDIRECT("'"&amp;$E$3&amp;"'!G15"),"YES")+COUNTIF(INDIRECT("'"&amp;$F$3&amp;"'!G15"),"YES")+COUNTIF(INDIRECT("'"&amp;$G$3&amp;"'!G15"),"YES")+COUNTIF(INDIRECT("'"&amp;$H$3&amp;"'!G15"),"YES")+COUNTIF(INDIRECT("'"&amp;$I$3&amp;"'!G15"),"YES"))/8,0)</f>
        <v>0</v>
      </c>
      <c r="H17" s="16" t="n">
        <f aca="true">IFERROR((COUNTIF(INDIRECT("'"&amp;$B$3&amp;"'!H15"),"YES")+COUNTIF(INDIRECT("'"&amp;$C$3&amp;"'!H15"),"YES")+COUNTIF(INDIRECT("'"&amp;$D$3&amp;"'!H15"),"YES")+COUNTIF(INDIRECT("'"&amp;$E$3&amp;"'!H15"),"YES")+COUNTIF(INDIRECT("'"&amp;$F$3&amp;"'!H15"),"YES")+COUNTIF(INDIRECT("'"&amp;$G$3&amp;"'!H15"),"YES")+COUNTIF(INDIRECT("'"&amp;$H$3&amp;"'!H15"),"YES")+COUNTIF(INDIRECT("'"&amp;$I$3&amp;"'!H15"),"YES"))/8,0)</f>
        <v>0</v>
      </c>
      <c r="I17" s="16" t="n">
        <f aca="true">IFERROR((COUNTIF(INDIRECT("'"&amp;$B$3&amp;"'!I15"),"YES")+COUNTIF(INDIRECT("'"&amp;$C$3&amp;"'!I15"),"YES")+COUNTIF(INDIRECT("'"&amp;$D$3&amp;"'!I15"),"YES")+COUNTIF(INDIRECT("'"&amp;$E$3&amp;"'!I15"),"YES")+COUNTIF(INDIRECT("'"&amp;$F$3&amp;"'!I15"),"YES")+COUNTIF(INDIRECT("'"&amp;$G$3&amp;"'!I15"),"YES")+COUNTIF(INDIRECT("'"&amp;$H$3&amp;"'!I15"),"YES")+COUNTIF(INDIRECT("'"&amp;$I$3&amp;"'!I15"),"YES"))/8,0)</f>
        <v>0</v>
      </c>
      <c r="J17" s="16" t="n">
        <f aca="true">IFERROR((COUNTIF(INDIRECT("'"&amp;$B$3&amp;"'!J15"),"YES")+COUNTIF(INDIRECT("'"&amp;$C$3&amp;"'!J15"),"YES")+COUNTIF(INDIRECT("'"&amp;$D$3&amp;"'!J15"),"YES")+COUNTIF(INDIRECT("'"&amp;$E$3&amp;"'!J15"),"YES")+COUNTIF(INDIRECT("'"&amp;$F$3&amp;"'!J15"),"YES")+COUNTIF(INDIRECT("'"&amp;$G$3&amp;"'!J15"),"YES")+COUNTIF(INDIRECT("'"&amp;$H$3&amp;"'!J15"),"YES")+COUNTIF(INDIRECT("'"&amp;$I$3&amp;"'!J15"),"YES"))/8,0)</f>
        <v>0</v>
      </c>
      <c r="K17" s="16" t="n">
        <f aca="true">IFERROR((COUNTIF(INDIRECT("'"&amp;$B$3&amp;"'!K15"),"YES")+COUNTIF(INDIRECT("'"&amp;$C$3&amp;"'!K15"),"YES")+COUNTIF(INDIRECT("'"&amp;$D$3&amp;"'!K15"),"YES")+COUNTIF(INDIRECT("'"&amp;$E$3&amp;"'!K15"),"YES")+COUNTIF(INDIRECT("'"&amp;$F$3&amp;"'!K15"),"YES")+COUNTIF(INDIRECT("'"&amp;$G$3&amp;"'!K15"),"YES")+COUNTIF(INDIRECT("'"&amp;$H$3&amp;"'!K15"),"YES")+COUNTIF(INDIRECT("'"&amp;$I$3&amp;"'!K15"),"YES"))/8,0)</f>
        <v>0</v>
      </c>
      <c r="L17" s="16" t="n">
        <f aca="true">IFERROR((COUNTIF(INDIRECT("'"&amp;$B$3&amp;"'!L15"),"YES")+COUNTIF(INDIRECT("'"&amp;$C$3&amp;"'!L15"),"YES")+COUNTIF(INDIRECT("'"&amp;$D$3&amp;"'!L15"),"YES")+COUNTIF(INDIRECT("'"&amp;$E$3&amp;"'!L15"),"YES")+COUNTIF(INDIRECT("'"&amp;$F$3&amp;"'!L15"),"YES")+COUNTIF(INDIRECT("'"&amp;$G$3&amp;"'!L15"),"YES")+COUNTIF(INDIRECT("'"&amp;$H$3&amp;"'!L15"),"YES")+COUNTIF(INDIRECT("'"&amp;$I$3&amp;"'!L15"),"YES"))/8,0)</f>
        <v>0</v>
      </c>
      <c r="M17" s="17" t="n">
        <f aca="false">IFERROR((J17*3)+(G17*1)+(H17*2)+(I17*2)-(L17*2),0)</f>
        <v>0</v>
      </c>
      <c r="N17" s="7"/>
    </row>
    <row r="18" customFormat="false" ht="15" hidden="false" customHeight="false" outlineLevel="0" collapsed="false">
      <c r="A18" s="5" t="n">
        <v>13</v>
      </c>
      <c r="B18" s="5" t="s">
        <v>62</v>
      </c>
      <c r="C18" s="5" t="s">
        <v>34</v>
      </c>
      <c r="D18" s="5" t="s">
        <v>63</v>
      </c>
      <c r="E18" s="14" t="n">
        <f aca="true">IFERROR((COUNTIF(INDIRECT("'"&amp;$B$3&amp;"'!E16"),"YES")+COUNTIF(INDIRECT("'"&amp;$C$3&amp;"'!E16"),"YES")+COUNTIF(INDIRECT("'"&amp;$D$3&amp;"'!E16"),"YES")+COUNTIF(INDIRECT("'"&amp;$E$3&amp;"'!E16"),"YES")+COUNTIF(INDIRECT("'"&amp;$F$3&amp;"'!E16"),"YES")+COUNTIF(INDIRECT("'"&amp;$G$3&amp;"'!E16"),"YES")+COUNTIF(INDIRECT("'"&amp;$H$3&amp;"'!E16"),"YES")+COUNTIF(INDIRECT("'"&amp;$I$3&amp;"'!E16"),"YES"))/8,0)</f>
        <v>0</v>
      </c>
      <c r="F18" s="15" t="n">
        <f aca="true">IFERROR((IFERROR(VALUE(SUBSTITUTE(INDIRECT("'"&amp;$B$3&amp;"'!F16"),"5+","5")),0)+IFERROR(VALUE(SUBSTITUTE(INDIRECT("'"&amp;$C$3&amp;"'!F16"),"5+","5")),0)+IFERROR(VALUE(SUBSTITUTE(INDIRECT("'"&amp;$D$3&amp;"'!F16"),"5+","5")),0)+IFERROR(VALUE(SUBSTITUTE(INDIRECT("'"&amp;$E$3&amp;"'!F16"),"5+","5")),0)+IFERROR(VALUE(SUBSTITUTE(INDIRECT("'"&amp;$F$3&amp;"'!F16"),"5+","5")),0)+IFERROR(VALUE(SUBSTITUTE(INDIRECT("'"&amp;$G$3&amp;"'!F16"),"5+","5")),0)+IFERROR(VALUE(SUBSTITUTE(INDIRECT("'"&amp;$H$3&amp;"'!F16"),"5+","5")),0)+IFERROR(VALUE(SUBSTITUTE(INDIRECT("'"&amp;$I$3&amp;"'!F16"),"5+","5")),0))/8,0)</f>
        <v>0</v>
      </c>
      <c r="G18" s="14" t="n">
        <f aca="true">IFERROR((COUNTIF(INDIRECT("'"&amp;$B$3&amp;"'!G16"),"YES")+COUNTIF(INDIRECT("'"&amp;$C$3&amp;"'!G16"),"YES")+COUNTIF(INDIRECT("'"&amp;$D$3&amp;"'!G16"),"YES")+COUNTIF(INDIRECT("'"&amp;$E$3&amp;"'!G16"),"YES")+COUNTIF(INDIRECT("'"&amp;$F$3&amp;"'!G16"),"YES")+COUNTIF(INDIRECT("'"&amp;$G$3&amp;"'!G16"),"YES")+COUNTIF(INDIRECT("'"&amp;$H$3&amp;"'!G16"),"YES")+COUNTIF(INDIRECT("'"&amp;$I$3&amp;"'!G16"),"YES"))/8,0)</f>
        <v>0</v>
      </c>
      <c r="H18" s="14" t="n">
        <f aca="true">IFERROR((COUNTIF(INDIRECT("'"&amp;$B$3&amp;"'!H16"),"YES")+COUNTIF(INDIRECT("'"&amp;$C$3&amp;"'!H16"),"YES")+COUNTIF(INDIRECT("'"&amp;$D$3&amp;"'!H16"),"YES")+COUNTIF(INDIRECT("'"&amp;$E$3&amp;"'!H16"),"YES")+COUNTIF(INDIRECT("'"&amp;$F$3&amp;"'!H16"),"YES")+COUNTIF(INDIRECT("'"&amp;$G$3&amp;"'!H16"),"YES")+COUNTIF(INDIRECT("'"&amp;$H$3&amp;"'!H16"),"YES")+COUNTIF(INDIRECT("'"&amp;$I$3&amp;"'!H16"),"YES"))/8,0)</f>
        <v>0</v>
      </c>
      <c r="I18" s="14" t="n">
        <f aca="true">IFERROR((COUNTIF(INDIRECT("'"&amp;$B$3&amp;"'!I16"),"YES")+COUNTIF(INDIRECT("'"&amp;$C$3&amp;"'!I16"),"YES")+COUNTIF(INDIRECT("'"&amp;$D$3&amp;"'!I16"),"YES")+COUNTIF(INDIRECT("'"&amp;$E$3&amp;"'!I16"),"YES")+COUNTIF(INDIRECT("'"&amp;$F$3&amp;"'!I16"),"YES")+COUNTIF(INDIRECT("'"&amp;$G$3&amp;"'!I16"),"YES")+COUNTIF(INDIRECT("'"&amp;$H$3&amp;"'!I16"),"YES")+COUNTIF(INDIRECT("'"&amp;$I$3&amp;"'!I16"),"YES"))/8,0)</f>
        <v>0</v>
      </c>
      <c r="J18" s="14" t="n">
        <f aca="true">IFERROR((COUNTIF(INDIRECT("'"&amp;$B$3&amp;"'!J16"),"YES")+COUNTIF(INDIRECT("'"&amp;$C$3&amp;"'!J16"),"YES")+COUNTIF(INDIRECT("'"&amp;$D$3&amp;"'!J16"),"YES")+COUNTIF(INDIRECT("'"&amp;$E$3&amp;"'!J16"),"YES")+COUNTIF(INDIRECT("'"&amp;$F$3&amp;"'!J16"),"YES")+COUNTIF(INDIRECT("'"&amp;$G$3&amp;"'!J16"),"YES")+COUNTIF(INDIRECT("'"&amp;$H$3&amp;"'!J16"),"YES")+COUNTIF(INDIRECT("'"&amp;$I$3&amp;"'!J16"),"YES"))/8,0)</f>
        <v>0</v>
      </c>
      <c r="K18" s="14" t="n">
        <f aca="true">IFERROR((COUNTIF(INDIRECT("'"&amp;$B$3&amp;"'!K16"),"YES")+COUNTIF(INDIRECT("'"&amp;$C$3&amp;"'!K16"),"YES")+COUNTIF(INDIRECT("'"&amp;$D$3&amp;"'!K16"),"YES")+COUNTIF(INDIRECT("'"&amp;$E$3&amp;"'!K16"),"YES")+COUNTIF(INDIRECT("'"&amp;$F$3&amp;"'!K16"),"YES")+COUNTIF(INDIRECT("'"&amp;$G$3&amp;"'!K16"),"YES")+COUNTIF(INDIRECT("'"&amp;$H$3&amp;"'!K16"),"YES")+COUNTIF(INDIRECT("'"&amp;$I$3&amp;"'!K16"),"YES"))/8,0)</f>
        <v>0</v>
      </c>
      <c r="L18" s="14" t="n">
        <f aca="true">IFERROR((COUNTIF(INDIRECT("'"&amp;$B$3&amp;"'!L16"),"YES")+COUNTIF(INDIRECT("'"&amp;$C$3&amp;"'!L16"),"YES")+COUNTIF(INDIRECT("'"&amp;$D$3&amp;"'!L16"),"YES")+COUNTIF(INDIRECT("'"&amp;$E$3&amp;"'!L16"),"YES")+COUNTIF(INDIRECT("'"&amp;$F$3&amp;"'!L16"),"YES")+COUNTIF(INDIRECT("'"&amp;$G$3&amp;"'!L16"),"YES")+COUNTIF(INDIRECT("'"&amp;$H$3&amp;"'!L16"),"YES")+COUNTIF(INDIRECT("'"&amp;$I$3&amp;"'!L16"),"YES"))/8,0)</f>
        <v>0</v>
      </c>
      <c r="M18" s="15" t="n">
        <f aca="false">IFERROR((J18*3)+(G18*1)+(H18*2)+(I18*2)-(L18*2),0)</f>
        <v>0</v>
      </c>
      <c r="N18" s="5"/>
    </row>
    <row r="19" customFormat="false" ht="15" hidden="false" customHeight="false" outlineLevel="0" collapsed="false">
      <c r="A19" s="7" t="n">
        <v>14</v>
      </c>
      <c r="B19" s="7" t="s">
        <v>62</v>
      </c>
      <c r="C19" s="7" t="s">
        <v>38</v>
      </c>
      <c r="D19" s="7" t="s">
        <v>64</v>
      </c>
      <c r="E19" s="16" t="n">
        <f aca="true">IFERROR((COUNTIF(INDIRECT("'"&amp;$B$3&amp;"'!E17"),"YES")+COUNTIF(INDIRECT("'"&amp;$C$3&amp;"'!E17"),"YES")+COUNTIF(INDIRECT("'"&amp;$D$3&amp;"'!E17"),"YES")+COUNTIF(INDIRECT("'"&amp;$E$3&amp;"'!E17"),"YES")+COUNTIF(INDIRECT("'"&amp;$F$3&amp;"'!E17"),"YES")+COUNTIF(INDIRECT("'"&amp;$G$3&amp;"'!E17"),"YES")+COUNTIF(INDIRECT("'"&amp;$H$3&amp;"'!E17"),"YES")+COUNTIF(INDIRECT("'"&amp;$I$3&amp;"'!E17"),"YES"))/8,0)</f>
        <v>0</v>
      </c>
      <c r="F19" s="17" t="n">
        <f aca="true">IFERROR((IFERROR(VALUE(SUBSTITUTE(INDIRECT("'"&amp;$B$3&amp;"'!F17"),"5+","5")),0)+IFERROR(VALUE(SUBSTITUTE(INDIRECT("'"&amp;$C$3&amp;"'!F17"),"5+","5")),0)+IFERROR(VALUE(SUBSTITUTE(INDIRECT("'"&amp;$D$3&amp;"'!F17"),"5+","5")),0)+IFERROR(VALUE(SUBSTITUTE(INDIRECT("'"&amp;$E$3&amp;"'!F17"),"5+","5")),0)+IFERROR(VALUE(SUBSTITUTE(INDIRECT("'"&amp;$F$3&amp;"'!F17"),"5+","5")),0)+IFERROR(VALUE(SUBSTITUTE(INDIRECT("'"&amp;$G$3&amp;"'!F17"),"5+","5")),0)+IFERROR(VALUE(SUBSTITUTE(INDIRECT("'"&amp;$H$3&amp;"'!F17"),"5+","5")),0)+IFERROR(VALUE(SUBSTITUTE(INDIRECT("'"&amp;$I$3&amp;"'!F17"),"5+","5")),0))/8,0)</f>
        <v>0</v>
      </c>
      <c r="G19" s="16" t="n">
        <f aca="true">IFERROR((COUNTIF(INDIRECT("'"&amp;$B$3&amp;"'!G17"),"YES")+COUNTIF(INDIRECT("'"&amp;$C$3&amp;"'!G17"),"YES")+COUNTIF(INDIRECT("'"&amp;$D$3&amp;"'!G17"),"YES")+COUNTIF(INDIRECT("'"&amp;$E$3&amp;"'!G17"),"YES")+COUNTIF(INDIRECT("'"&amp;$F$3&amp;"'!G17"),"YES")+COUNTIF(INDIRECT("'"&amp;$G$3&amp;"'!G17"),"YES")+COUNTIF(INDIRECT("'"&amp;$H$3&amp;"'!G17"),"YES")+COUNTIF(INDIRECT("'"&amp;$I$3&amp;"'!G17"),"YES"))/8,0)</f>
        <v>0</v>
      </c>
      <c r="H19" s="16" t="n">
        <f aca="true">IFERROR((COUNTIF(INDIRECT("'"&amp;$B$3&amp;"'!H17"),"YES")+COUNTIF(INDIRECT("'"&amp;$C$3&amp;"'!H17"),"YES")+COUNTIF(INDIRECT("'"&amp;$D$3&amp;"'!H17"),"YES")+COUNTIF(INDIRECT("'"&amp;$E$3&amp;"'!H17"),"YES")+COUNTIF(INDIRECT("'"&amp;$F$3&amp;"'!H17"),"YES")+COUNTIF(INDIRECT("'"&amp;$G$3&amp;"'!H17"),"YES")+COUNTIF(INDIRECT("'"&amp;$H$3&amp;"'!H17"),"YES")+COUNTIF(INDIRECT("'"&amp;$I$3&amp;"'!H17"),"YES"))/8,0)</f>
        <v>0</v>
      </c>
      <c r="I19" s="16" t="n">
        <f aca="true">IFERROR((COUNTIF(INDIRECT("'"&amp;$B$3&amp;"'!I17"),"YES")+COUNTIF(INDIRECT("'"&amp;$C$3&amp;"'!I17"),"YES")+COUNTIF(INDIRECT("'"&amp;$D$3&amp;"'!I17"),"YES")+COUNTIF(INDIRECT("'"&amp;$E$3&amp;"'!I17"),"YES")+COUNTIF(INDIRECT("'"&amp;$F$3&amp;"'!I17"),"YES")+COUNTIF(INDIRECT("'"&amp;$G$3&amp;"'!I17"),"YES")+COUNTIF(INDIRECT("'"&amp;$H$3&amp;"'!I17"),"YES")+COUNTIF(INDIRECT("'"&amp;$I$3&amp;"'!I17"),"YES"))/8,0)</f>
        <v>0</v>
      </c>
      <c r="J19" s="16" t="n">
        <f aca="true">IFERROR((COUNTIF(INDIRECT("'"&amp;$B$3&amp;"'!J17"),"YES")+COUNTIF(INDIRECT("'"&amp;$C$3&amp;"'!J17"),"YES")+COUNTIF(INDIRECT("'"&amp;$D$3&amp;"'!J17"),"YES")+COUNTIF(INDIRECT("'"&amp;$E$3&amp;"'!J17"),"YES")+COUNTIF(INDIRECT("'"&amp;$F$3&amp;"'!J17"),"YES")+COUNTIF(INDIRECT("'"&amp;$G$3&amp;"'!J17"),"YES")+COUNTIF(INDIRECT("'"&amp;$H$3&amp;"'!J17"),"YES")+COUNTIF(INDIRECT("'"&amp;$I$3&amp;"'!J17"),"YES"))/8,0)</f>
        <v>0</v>
      </c>
      <c r="K19" s="16" t="n">
        <f aca="true">IFERROR((COUNTIF(INDIRECT("'"&amp;$B$3&amp;"'!K17"),"YES")+COUNTIF(INDIRECT("'"&amp;$C$3&amp;"'!K17"),"YES")+COUNTIF(INDIRECT("'"&amp;$D$3&amp;"'!K17"),"YES")+COUNTIF(INDIRECT("'"&amp;$E$3&amp;"'!K17"),"YES")+COUNTIF(INDIRECT("'"&amp;$F$3&amp;"'!K17"),"YES")+COUNTIF(INDIRECT("'"&amp;$G$3&amp;"'!K17"),"YES")+COUNTIF(INDIRECT("'"&amp;$H$3&amp;"'!K17"),"YES")+COUNTIF(INDIRECT("'"&amp;$I$3&amp;"'!K17"),"YES"))/8,0)</f>
        <v>0</v>
      </c>
      <c r="L19" s="16" t="n">
        <f aca="true">IFERROR((COUNTIF(INDIRECT("'"&amp;$B$3&amp;"'!L17"),"YES")+COUNTIF(INDIRECT("'"&amp;$C$3&amp;"'!L17"),"YES")+COUNTIF(INDIRECT("'"&amp;$D$3&amp;"'!L17"),"YES")+COUNTIF(INDIRECT("'"&amp;$E$3&amp;"'!L17"),"YES")+COUNTIF(INDIRECT("'"&amp;$F$3&amp;"'!L17"),"YES")+COUNTIF(INDIRECT("'"&amp;$G$3&amp;"'!L17"),"YES")+COUNTIF(INDIRECT("'"&amp;$H$3&amp;"'!L17"),"YES")+COUNTIF(INDIRECT("'"&amp;$I$3&amp;"'!L17"),"YES"))/8,0)</f>
        <v>0</v>
      </c>
      <c r="M19" s="17" t="n">
        <f aca="false">IFERROR((J19*3)+(G19*1)+(H19*2)+(I19*2)-(L19*2),0)</f>
        <v>0</v>
      </c>
      <c r="N19" s="7"/>
    </row>
    <row r="20" customFormat="false" ht="15" hidden="false" customHeight="false" outlineLevel="0" collapsed="false">
      <c r="A20" s="5" t="n">
        <v>15</v>
      </c>
      <c r="B20" s="5" t="s">
        <v>62</v>
      </c>
      <c r="C20" s="5" t="s">
        <v>31</v>
      </c>
      <c r="D20" s="5" t="s">
        <v>66</v>
      </c>
      <c r="E20" s="14" t="n">
        <f aca="true">IFERROR((COUNTIF(INDIRECT("'"&amp;$B$3&amp;"'!E18"),"YES")+COUNTIF(INDIRECT("'"&amp;$C$3&amp;"'!E18"),"YES")+COUNTIF(INDIRECT("'"&amp;$D$3&amp;"'!E18"),"YES")+COUNTIF(INDIRECT("'"&amp;$E$3&amp;"'!E18"),"YES")+COUNTIF(INDIRECT("'"&amp;$F$3&amp;"'!E18"),"YES")+COUNTIF(INDIRECT("'"&amp;$G$3&amp;"'!E18"),"YES")+COUNTIF(INDIRECT("'"&amp;$H$3&amp;"'!E18"),"YES")+COUNTIF(INDIRECT("'"&amp;$I$3&amp;"'!E18"),"YES"))/8,0)</f>
        <v>0</v>
      </c>
      <c r="F20" s="15" t="n">
        <f aca="true">IFERROR((IFERROR(VALUE(SUBSTITUTE(INDIRECT("'"&amp;$B$3&amp;"'!F18"),"5+","5")),0)+IFERROR(VALUE(SUBSTITUTE(INDIRECT("'"&amp;$C$3&amp;"'!F18"),"5+","5")),0)+IFERROR(VALUE(SUBSTITUTE(INDIRECT("'"&amp;$D$3&amp;"'!F18"),"5+","5")),0)+IFERROR(VALUE(SUBSTITUTE(INDIRECT("'"&amp;$E$3&amp;"'!F18"),"5+","5")),0)+IFERROR(VALUE(SUBSTITUTE(INDIRECT("'"&amp;$F$3&amp;"'!F18"),"5+","5")),0)+IFERROR(VALUE(SUBSTITUTE(INDIRECT("'"&amp;$G$3&amp;"'!F18"),"5+","5")),0)+IFERROR(VALUE(SUBSTITUTE(INDIRECT("'"&amp;$H$3&amp;"'!F18"),"5+","5")),0)+IFERROR(VALUE(SUBSTITUTE(INDIRECT("'"&amp;$I$3&amp;"'!F18"),"5+","5")),0))/8,0)</f>
        <v>0</v>
      </c>
      <c r="G20" s="14" t="n">
        <f aca="true">IFERROR((COUNTIF(INDIRECT("'"&amp;$B$3&amp;"'!G18"),"YES")+COUNTIF(INDIRECT("'"&amp;$C$3&amp;"'!G18"),"YES")+COUNTIF(INDIRECT("'"&amp;$D$3&amp;"'!G18"),"YES")+COUNTIF(INDIRECT("'"&amp;$E$3&amp;"'!G18"),"YES")+COUNTIF(INDIRECT("'"&amp;$F$3&amp;"'!G18"),"YES")+COUNTIF(INDIRECT("'"&amp;$G$3&amp;"'!G18"),"YES")+COUNTIF(INDIRECT("'"&amp;$H$3&amp;"'!G18"),"YES")+COUNTIF(INDIRECT("'"&amp;$I$3&amp;"'!G18"),"YES"))/8,0)</f>
        <v>0</v>
      </c>
      <c r="H20" s="14" t="n">
        <f aca="true">IFERROR((COUNTIF(INDIRECT("'"&amp;$B$3&amp;"'!H18"),"YES")+COUNTIF(INDIRECT("'"&amp;$C$3&amp;"'!H18"),"YES")+COUNTIF(INDIRECT("'"&amp;$D$3&amp;"'!H18"),"YES")+COUNTIF(INDIRECT("'"&amp;$E$3&amp;"'!H18"),"YES")+COUNTIF(INDIRECT("'"&amp;$F$3&amp;"'!H18"),"YES")+COUNTIF(INDIRECT("'"&amp;$G$3&amp;"'!H18"),"YES")+COUNTIF(INDIRECT("'"&amp;$H$3&amp;"'!H18"),"YES")+COUNTIF(INDIRECT("'"&amp;$I$3&amp;"'!H18"),"YES"))/8,0)</f>
        <v>0</v>
      </c>
      <c r="I20" s="14" t="n">
        <f aca="true">IFERROR((COUNTIF(INDIRECT("'"&amp;$B$3&amp;"'!I18"),"YES")+COUNTIF(INDIRECT("'"&amp;$C$3&amp;"'!I18"),"YES")+COUNTIF(INDIRECT("'"&amp;$D$3&amp;"'!I18"),"YES")+COUNTIF(INDIRECT("'"&amp;$E$3&amp;"'!I18"),"YES")+COUNTIF(INDIRECT("'"&amp;$F$3&amp;"'!I18"),"YES")+COUNTIF(INDIRECT("'"&amp;$G$3&amp;"'!I18"),"YES")+COUNTIF(INDIRECT("'"&amp;$H$3&amp;"'!I18"),"YES")+COUNTIF(INDIRECT("'"&amp;$I$3&amp;"'!I18"),"YES"))/8,0)</f>
        <v>0</v>
      </c>
      <c r="J20" s="14" t="n">
        <f aca="true">IFERROR((COUNTIF(INDIRECT("'"&amp;$B$3&amp;"'!J18"),"YES")+COUNTIF(INDIRECT("'"&amp;$C$3&amp;"'!J18"),"YES")+COUNTIF(INDIRECT("'"&amp;$D$3&amp;"'!J18"),"YES")+COUNTIF(INDIRECT("'"&amp;$E$3&amp;"'!J18"),"YES")+COUNTIF(INDIRECT("'"&amp;$F$3&amp;"'!J18"),"YES")+COUNTIF(INDIRECT("'"&amp;$G$3&amp;"'!J18"),"YES")+COUNTIF(INDIRECT("'"&amp;$H$3&amp;"'!J18"),"YES")+COUNTIF(INDIRECT("'"&amp;$I$3&amp;"'!J18"),"YES"))/8,0)</f>
        <v>0</v>
      </c>
      <c r="K20" s="14" t="n">
        <f aca="true">IFERROR((COUNTIF(INDIRECT("'"&amp;$B$3&amp;"'!K18"),"YES")+COUNTIF(INDIRECT("'"&amp;$C$3&amp;"'!K18"),"YES")+COUNTIF(INDIRECT("'"&amp;$D$3&amp;"'!K18"),"YES")+COUNTIF(INDIRECT("'"&amp;$E$3&amp;"'!K18"),"YES")+COUNTIF(INDIRECT("'"&amp;$F$3&amp;"'!K18"),"YES")+COUNTIF(INDIRECT("'"&amp;$G$3&amp;"'!K18"),"YES")+COUNTIF(INDIRECT("'"&amp;$H$3&amp;"'!K18"),"YES")+COUNTIF(INDIRECT("'"&amp;$I$3&amp;"'!K18"),"YES"))/8,0)</f>
        <v>0</v>
      </c>
      <c r="L20" s="14" t="n">
        <f aca="true">IFERROR((COUNTIF(INDIRECT("'"&amp;$B$3&amp;"'!L18"),"YES")+COUNTIF(INDIRECT("'"&amp;$C$3&amp;"'!L18"),"YES")+COUNTIF(INDIRECT("'"&amp;$D$3&amp;"'!L18"),"YES")+COUNTIF(INDIRECT("'"&amp;$E$3&amp;"'!L18"),"YES")+COUNTIF(INDIRECT("'"&amp;$F$3&amp;"'!L18"),"YES")+COUNTIF(INDIRECT("'"&amp;$G$3&amp;"'!L18"),"YES")+COUNTIF(INDIRECT("'"&amp;$H$3&amp;"'!L18"),"YES")+COUNTIF(INDIRECT("'"&amp;$I$3&amp;"'!L18"),"YES"))/8,0)</f>
        <v>0</v>
      </c>
      <c r="M20" s="15" t="n">
        <f aca="false">IFERROR((J20*3)+(G20*1)+(H20*2)+(I20*2)-(L20*2),0)</f>
        <v>0</v>
      </c>
      <c r="N20" s="5"/>
    </row>
    <row r="21" customFormat="false" ht="15" hidden="false" customHeight="false" outlineLevel="0" collapsed="false">
      <c r="A21" s="7" t="n">
        <v>16</v>
      </c>
      <c r="B21" s="7" t="s">
        <v>62</v>
      </c>
      <c r="C21" s="7" t="s">
        <v>37</v>
      </c>
      <c r="D21" s="7" t="s">
        <v>67</v>
      </c>
      <c r="E21" s="16" t="n">
        <f aca="true">IFERROR((COUNTIF(INDIRECT("'"&amp;$B$3&amp;"'!E19"),"YES")+COUNTIF(INDIRECT("'"&amp;$C$3&amp;"'!E19"),"YES")+COUNTIF(INDIRECT("'"&amp;$D$3&amp;"'!E19"),"YES")+COUNTIF(INDIRECT("'"&amp;$E$3&amp;"'!E19"),"YES")+COUNTIF(INDIRECT("'"&amp;$F$3&amp;"'!E19"),"YES")+COUNTIF(INDIRECT("'"&amp;$G$3&amp;"'!E19"),"YES")+COUNTIF(INDIRECT("'"&amp;$H$3&amp;"'!E19"),"YES")+COUNTIF(INDIRECT("'"&amp;$I$3&amp;"'!E19"),"YES"))/8,0)</f>
        <v>0</v>
      </c>
      <c r="F21" s="17" t="n">
        <f aca="true">IFERROR((IFERROR(VALUE(SUBSTITUTE(INDIRECT("'"&amp;$B$3&amp;"'!F19"),"5+","5")),0)+IFERROR(VALUE(SUBSTITUTE(INDIRECT("'"&amp;$C$3&amp;"'!F19"),"5+","5")),0)+IFERROR(VALUE(SUBSTITUTE(INDIRECT("'"&amp;$D$3&amp;"'!F19"),"5+","5")),0)+IFERROR(VALUE(SUBSTITUTE(INDIRECT("'"&amp;$E$3&amp;"'!F19"),"5+","5")),0)+IFERROR(VALUE(SUBSTITUTE(INDIRECT("'"&amp;$F$3&amp;"'!F19"),"5+","5")),0)+IFERROR(VALUE(SUBSTITUTE(INDIRECT("'"&amp;$G$3&amp;"'!F19"),"5+","5")),0)+IFERROR(VALUE(SUBSTITUTE(INDIRECT("'"&amp;$H$3&amp;"'!F19"),"5+","5")),0)+IFERROR(VALUE(SUBSTITUTE(INDIRECT("'"&amp;$I$3&amp;"'!F19"),"5+","5")),0))/8,0)</f>
        <v>0</v>
      </c>
      <c r="G21" s="16" t="n">
        <f aca="true">IFERROR((COUNTIF(INDIRECT("'"&amp;$B$3&amp;"'!G19"),"YES")+COUNTIF(INDIRECT("'"&amp;$C$3&amp;"'!G19"),"YES")+COUNTIF(INDIRECT("'"&amp;$D$3&amp;"'!G19"),"YES")+COUNTIF(INDIRECT("'"&amp;$E$3&amp;"'!G19"),"YES")+COUNTIF(INDIRECT("'"&amp;$F$3&amp;"'!G19"),"YES")+COUNTIF(INDIRECT("'"&amp;$G$3&amp;"'!G19"),"YES")+COUNTIF(INDIRECT("'"&amp;$H$3&amp;"'!G19"),"YES")+COUNTIF(INDIRECT("'"&amp;$I$3&amp;"'!G19"),"YES"))/8,0)</f>
        <v>0</v>
      </c>
      <c r="H21" s="16" t="n">
        <f aca="true">IFERROR((COUNTIF(INDIRECT("'"&amp;$B$3&amp;"'!H19"),"YES")+COUNTIF(INDIRECT("'"&amp;$C$3&amp;"'!H19"),"YES")+COUNTIF(INDIRECT("'"&amp;$D$3&amp;"'!H19"),"YES")+COUNTIF(INDIRECT("'"&amp;$E$3&amp;"'!H19"),"YES")+COUNTIF(INDIRECT("'"&amp;$F$3&amp;"'!H19"),"YES")+COUNTIF(INDIRECT("'"&amp;$G$3&amp;"'!H19"),"YES")+COUNTIF(INDIRECT("'"&amp;$H$3&amp;"'!H19"),"YES")+COUNTIF(INDIRECT("'"&amp;$I$3&amp;"'!H19"),"YES"))/8,0)</f>
        <v>0</v>
      </c>
      <c r="I21" s="16" t="n">
        <f aca="true">IFERROR((COUNTIF(INDIRECT("'"&amp;$B$3&amp;"'!I19"),"YES")+COUNTIF(INDIRECT("'"&amp;$C$3&amp;"'!I19"),"YES")+COUNTIF(INDIRECT("'"&amp;$D$3&amp;"'!I19"),"YES")+COUNTIF(INDIRECT("'"&amp;$E$3&amp;"'!I19"),"YES")+COUNTIF(INDIRECT("'"&amp;$F$3&amp;"'!I19"),"YES")+COUNTIF(INDIRECT("'"&amp;$G$3&amp;"'!I19"),"YES")+COUNTIF(INDIRECT("'"&amp;$H$3&amp;"'!I19"),"YES")+COUNTIF(INDIRECT("'"&amp;$I$3&amp;"'!I19"),"YES"))/8,0)</f>
        <v>0</v>
      </c>
      <c r="J21" s="16" t="n">
        <f aca="true">IFERROR((COUNTIF(INDIRECT("'"&amp;$B$3&amp;"'!J19"),"YES")+COUNTIF(INDIRECT("'"&amp;$C$3&amp;"'!J19"),"YES")+COUNTIF(INDIRECT("'"&amp;$D$3&amp;"'!J19"),"YES")+COUNTIF(INDIRECT("'"&amp;$E$3&amp;"'!J19"),"YES")+COUNTIF(INDIRECT("'"&amp;$F$3&amp;"'!J19"),"YES")+COUNTIF(INDIRECT("'"&amp;$G$3&amp;"'!J19"),"YES")+COUNTIF(INDIRECT("'"&amp;$H$3&amp;"'!J19"),"YES")+COUNTIF(INDIRECT("'"&amp;$I$3&amp;"'!J19"),"YES"))/8,0)</f>
        <v>0</v>
      </c>
      <c r="K21" s="16" t="n">
        <f aca="true">IFERROR((COUNTIF(INDIRECT("'"&amp;$B$3&amp;"'!K19"),"YES")+COUNTIF(INDIRECT("'"&amp;$C$3&amp;"'!K19"),"YES")+COUNTIF(INDIRECT("'"&amp;$D$3&amp;"'!K19"),"YES")+COUNTIF(INDIRECT("'"&amp;$E$3&amp;"'!K19"),"YES")+COUNTIF(INDIRECT("'"&amp;$F$3&amp;"'!K19"),"YES")+COUNTIF(INDIRECT("'"&amp;$G$3&amp;"'!K19"),"YES")+COUNTIF(INDIRECT("'"&amp;$H$3&amp;"'!K19"),"YES")+COUNTIF(INDIRECT("'"&amp;$I$3&amp;"'!K19"),"YES"))/8,0)</f>
        <v>0</v>
      </c>
      <c r="L21" s="16" t="n">
        <f aca="true">IFERROR((COUNTIF(INDIRECT("'"&amp;$B$3&amp;"'!L19"),"YES")+COUNTIF(INDIRECT("'"&amp;$C$3&amp;"'!L19"),"YES")+COUNTIF(INDIRECT("'"&amp;$D$3&amp;"'!L19"),"YES")+COUNTIF(INDIRECT("'"&amp;$E$3&amp;"'!L19"),"YES")+COUNTIF(INDIRECT("'"&amp;$F$3&amp;"'!L19"),"YES")+COUNTIF(INDIRECT("'"&amp;$G$3&amp;"'!L19"),"YES")+COUNTIF(INDIRECT("'"&amp;$H$3&amp;"'!L19"),"YES")+COUNTIF(INDIRECT("'"&amp;$I$3&amp;"'!L19"),"YES"))/8,0)</f>
        <v>0</v>
      </c>
      <c r="M21" s="17" t="n">
        <f aca="false">IFERROR((J21*3)+(G21*1)+(H21*2)+(I21*2)-(L21*2),0)</f>
        <v>0</v>
      </c>
      <c r="N21" s="7"/>
    </row>
    <row r="22" customFormat="false" ht="15" hidden="false" customHeight="false" outlineLevel="0" collapsed="false">
      <c r="A22" s="5" t="n">
        <v>17</v>
      </c>
      <c r="B22" s="5" t="s">
        <v>62</v>
      </c>
      <c r="C22" s="5" t="s">
        <v>46</v>
      </c>
      <c r="D22" s="5" t="s">
        <v>68</v>
      </c>
      <c r="E22" s="14" t="n">
        <f aca="true">IFERROR((COUNTIF(INDIRECT("'"&amp;$B$3&amp;"'!E20"),"YES")+COUNTIF(INDIRECT("'"&amp;$C$3&amp;"'!E20"),"YES")+COUNTIF(INDIRECT("'"&amp;$D$3&amp;"'!E20"),"YES")+COUNTIF(INDIRECT("'"&amp;$E$3&amp;"'!E20"),"YES")+COUNTIF(INDIRECT("'"&amp;$F$3&amp;"'!E20"),"YES")+COUNTIF(INDIRECT("'"&amp;$G$3&amp;"'!E20"),"YES")+COUNTIF(INDIRECT("'"&amp;$H$3&amp;"'!E20"),"YES")+COUNTIF(INDIRECT("'"&amp;$I$3&amp;"'!E20"),"YES"))/8,0)</f>
        <v>0</v>
      </c>
      <c r="F22" s="15" t="n">
        <f aca="true">IFERROR((IFERROR(VALUE(SUBSTITUTE(INDIRECT("'"&amp;$B$3&amp;"'!F20"),"5+","5")),0)+IFERROR(VALUE(SUBSTITUTE(INDIRECT("'"&amp;$C$3&amp;"'!F20"),"5+","5")),0)+IFERROR(VALUE(SUBSTITUTE(INDIRECT("'"&amp;$D$3&amp;"'!F20"),"5+","5")),0)+IFERROR(VALUE(SUBSTITUTE(INDIRECT("'"&amp;$E$3&amp;"'!F20"),"5+","5")),0)+IFERROR(VALUE(SUBSTITUTE(INDIRECT("'"&amp;$F$3&amp;"'!F20"),"5+","5")),0)+IFERROR(VALUE(SUBSTITUTE(INDIRECT("'"&amp;$G$3&amp;"'!F20"),"5+","5")),0)+IFERROR(VALUE(SUBSTITUTE(INDIRECT("'"&amp;$H$3&amp;"'!F20"),"5+","5")),0)+IFERROR(VALUE(SUBSTITUTE(INDIRECT("'"&amp;$I$3&amp;"'!F20"),"5+","5")),0))/8,0)</f>
        <v>0</v>
      </c>
      <c r="G22" s="14" t="n">
        <f aca="true">IFERROR((COUNTIF(INDIRECT("'"&amp;$B$3&amp;"'!G20"),"YES")+COUNTIF(INDIRECT("'"&amp;$C$3&amp;"'!G20"),"YES")+COUNTIF(INDIRECT("'"&amp;$D$3&amp;"'!G20"),"YES")+COUNTIF(INDIRECT("'"&amp;$E$3&amp;"'!G20"),"YES")+COUNTIF(INDIRECT("'"&amp;$F$3&amp;"'!G20"),"YES")+COUNTIF(INDIRECT("'"&amp;$G$3&amp;"'!G20"),"YES")+COUNTIF(INDIRECT("'"&amp;$H$3&amp;"'!G20"),"YES")+COUNTIF(INDIRECT("'"&amp;$I$3&amp;"'!G20"),"YES"))/8,0)</f>
        <v>0</v>
      </c>
      <c r="H22" s="14" t="n">
        <f aca="true">IFERROR((COUNTIF(INDIRECT("'"&amp;$B$3&amp;"'!H20"),"YES")+COUNTIF(INDIRECT("'"&amp;$C$3&amp;"'!H20"),"YES")+COUNTIF(INDIRECT("'"&amp;$D$3&amp;"'!H20"),"YES")+COUNTIF(INDIRECT("'"&amp;$E$3&amp;"'!H20"),"YES")+COUNTIF(INDIRECT("'"&amp;$F$3&amp;"'!H20"),"YES")+COUNTIF(INDIRECT("'"&amp;$G$3&amp;"'!H20"),"YES")+COUNTIF(INDIRECT("'"&amp;$H$3&amp;"'!H20"),"YES")+COUNTIF(INDIRECT("'"&amp;$I$3&amp;"'!H20"),"YES"))/8,0)</f>
        <v>0</v>
      </c>
      <c r="I22" s="14" t="n">
        <f aca="true">IFERROR((COUNTIF(INDIRECT("'"&amp;$B$3&amp;"'!I20"),"YES")+COUNTIF(INDIRECT("'"&amp;$C$3&amp;"'!I20"),"YES")+COUNTIF(INDIRECT("'"&amp;$D$3&amp;"'!I20"),"YES")+COUNTIF(INDIRECT("'"&amp;$E$3&amp;"'!I20"),"YES")+COUNTIF(INDIRECT("'"&amp;$F$3&amp;"'!I20"),"YES")+COUNTIF(INDIRECT("'"&amp;$G$3&amp;"'!I20"),"YES")+COUNTIF(INDIRECT("'"&amp;$H$3&amp;"'!I20"),"YES")+COUNTIF(INDIRECT("'"&amp;$I$3&amp;"'!I20"),"YES"))/8,0)</f>
        <v>0</v>
      </c>
      <c r="J22" s="14" t="n">
        <f aca="true">IFERROR((COUNTIF(INDIRECT("'"&amp;$B$3&amp;"'!J20"),"YES")+COUNTIF(INDIRECT("'"&amp;$C$3&amp;"'!J20"),"YES")+COUNTIF(INDIRECT("'"&amp;$D$3&amp;"'!J20"),"YES")+COUNTIF(INDIRECT("'"&amp;$E$3&amp;"'!J20"),"YES")+COUNTIF(INDIRECT("'"&amp;$F$3&amp;"'!J20"),"YES")+COUNTIF(INDIRECT("'"&amp;$G$3&amp;"'!J20"),"YES")+COUNTIF(INDIRECT("'"&amp;$H$3&amp;"'!J20"),"YES")+COUNTIF(INDIRECT("'"&amp;$I$3&amp;"'!J20"),"YES"))/8,0)</f>
        <v>0</v>
      </c>
      <c r="K22" s="14" t="n">
        <f aca="true">IFERROR((COUNTIF(INDIRECT("'"&amp;$B$3&amp;"'!K20"),"YES")+COUNTIF(INDIRECT("'"&amp;$C$3&amp;"'!K20"),"YES")+COUNTIF(INDIRECT("'"&amp;$D$3&amp;"'!K20"),"YES")+COUNTIF(INDIRECT("'"&amp;$E$3&amp;"'!K20"),"YES")+COUNTIF(INDIRECT("'"&amp;$F$3&amp;"'!K20"),"YES")+COUNTIF(INDIRECT("'"&amp;$G$3&amp;"'!K20"),"YES")+COUNTIF(INDIRECT("'"&amp;$H$3&amp;"'!K20"),"YES")+COUNTIF(INDIRECT("'"&amp;$I$3&amp;"'!K20"),"YES"))/8,0)</f>
        <v>0</v>
      </c>
      <c r="L22" s="14" t="n">
        <f aca="true">IFERROR((COUNTIF(INDIRECT("'"&amp;$B$3&amp;"'!L20"),"YES")+COUNTIF(INDIRECT("'"&amp;$C$3&amp;"'!L20"),"YES")+COUNTIF(INDIRECT("'"&amp;$D$3&amp;"'!L20"),"YES")+COUNTIF(INDIRECT("'"&amp;$E$3&amp;"'!L20"),"YES")+COUNTIF(INDIRECT("'"&amp;$F$3&amp;"'!L20"),"YES")+COUNTIF(INDIRECT("'"&amp;$G$3&amp;"'!L20"),"YES")+COUNTIF(INDIRECT("'"&amp;$H$3&amp;"'!L20"),"YES")+COUNTIF(INDIRECT("'"&amp;$I$3&amp;"'!L20"),"YES"))/8,0)</f>
        <v>0</v>
      </c>
      <c r="M22" s="15" t="n">
        <f aca="false">IFERROR((J22*3)+(G22*1)+(H22*2)+(I22*2)-(L22*2),0)</f>
        <v>0</v>
      </c>
      <c r="N22" s="5"/>
    </row>
    <row r="23" customFormat="false" ht="15" hidden="false" customHeight="false" outlineLevel="0" collapsed="false">
      <c r="A23" s="7" t="n">
        <v>18</v>
      </c>
      <c r="B23" s="7" t="s">
        <v>62</v>
      </c>
      <c r="C23" s="7" t="s">
        <v>48</v>
      </c>
      <c r="D23" s="7" t="s">
        <v>69</v>
      </c>
      <c r="E23" s="16" t="n">
        <f aca="true">IFERROR((COUNTIF(INDIRECT("'"&amp;$B$3&amp;"'!E21"),"YES")+COUNTIF(INDIRECT("'"&amp;$C$3&amp;"'!E21"),"YES")+COUNTIF(INDIRECT("'"&amp;$D$3&amp;"'!E21"),"YES")+COUNTIF(INDIRECT("'"&amp;$E$3&amp;"'!E21"),"YES")+COUNTIF(INDIRECT("'"&amp;$F$3&amp;"'!E21"),"YES")+COUNTIF(INDIRECT("'"&amp;$G$3&amp;"'!E21"),"YES")+COUNTIF(INDIRECT("'"&amp;$H$3&amp;"'!E21"),"YES")+COUNTIF(INDIRECT("'"&amp;$I$3&amp;"'!E21"),"YES"))/8,0)</f>
        <v>0</v>
      </c>
      <c r="F23" s="17" t="n">
        <f aca="true">IFERROR((IFERROR(VALUE(SUBSTITUTE(INDIRECT("'"&amp;$B$3&amp;"'!F21"),"5+","5")),0)+IFERROR(VALUE(SUBSTITUTE(INDIRECT("'"&amp;$C$3&amp;"'!F21"),"5+","5")),0)+IFERROR(VALUE(SUBSTITUTE(INDIRECT("'"&amp;$D$3&amp;"'!F21"),"5+","5")),0)+IFERROR(VALUE(SUBSTITUTE(INDIRECT("'"&amp;$E$3&amp;"'!F21"),"5+","5")),0)+IFERROR(VALUE(SUBSTITUTE(INDIRECT("'"&amp;$F$3&amp;"'!F21"),"5+","5")),0)+IFERROR(VALUE(SUBSTITUTE(INDIRECT("'"&amp;$G$3&amp;"'!F21"),"5+","5")),0)+IFERROR(VALUE(SUBSTITUTE(INDIRECT("'"&amp;$H$3&amp;"'!F21"),"5+","5")),0)+IFERROR(VALUE(SUBSTITUTE(INDIRECT("'"&amp;$I$3&amp;"'!F21"),"5+","5")),0))/8,0)</f>
        <v>0</v>
      </c>
      <c r="G23" s="16" t="n">
        <f aca="true">IFERROR((COUNTIF(INDIRECT("'"&amp;$B$3&amp;"'!G21"),"YES")+COUNTIF(INDIRECT("'"&amp;$C$3&amp;"'!G21"),"YES")+COUNTIF(INDIRECT("'"&amp;$D$3&amp;"'!G21"),"YES")+COUNTIF(INDIRECT("'"&amp;$E$3&amp;"'!G21"),"YES")+COUNTIF(INDIRECT("'"&amp;$F$3&amp;"'!G21"),"YES")+COUNTIF(INDIRECT("'"&amp;$G$3&amp;"'!G21"),"YES")+COUNTIF(INDIRECT("'"&amp;$H$3&amp;"'!G21"),"YES")+COUNTIF(INDIRECT("'"&amp;$I$3&amp;"'!G21"),"YES"))/8,0)</f>
        <v>0</v>
      </c>
      <c r="H23" s="16" t="n">
        <f aca="true">IFERROR((COUNTIF(INDIRECT("'"&amp;$B$3&amp;"'!H21"),"YES")+COUNTIF(INDIRECT("'"&amp;$C$3&amp;"'!H21"),"YES")+COUNTIF(INDIRECT("'"&amp;$D$3&amp;"'!H21"),"YES")+COUNTIF(INDIRECT("'"&amp;$E$3&amp;"'!H21"),"YES")+COUNTIF(INDIRECT("'"&amp;$F$3&amp;"'!H21"),"YES")+COUNTIF(INDIRECT("'"&amp;$G$3&amp;"'!H21"),"YES")+COUNTIF(INDIRECT("'"&amp;$H$3&amp;"'!H21"),"YES")+COUNTIF(INDIRECT("'"&amp;$I$3&amp;"'!H21"),"YES"))/8,0)</f>
        <v>0</v>
      </c>
      <c r="I23" s="16" t="n">
        <f aca="true">IFERROR((COUNTIF(INDIRECT("'"&amp;$B$3&amp;"'!I21"),"YES")+COUNTIF(INDIRECT("'"&amp;$C$3&amp;"'!I21"),"YES")+COUNTIF(INDIRECT("'"&amp;$D$3&amp;"'!I21"),"YES")+COUNTIF(INDIRECT("'"&amp;$E$3&amp;"'!I21"),"YES")+COUNTIF(INDIRECT("'"&amp;$F$3&amp;"'!I21"),"YES")+COUNTIF(INDIRECT("'"&amp;$G$3&amp;"'!I21"),"YES")+COUNTIF(INDIRECT("'"&amp;$H$3&amp;"'!I21"),"YES")+COUNTIF(INDIRECT("'"&amp;$I$3&amp;"'!I21"),"YES"))/8,0)</f>
        <v>0</v>
      </c>
      <c r="J23" s="16" t="n">
        <f aca="true">IFERROR((COUNTIF(INDIRECT("'"&amp;$B$3&amp;"'!J21"),"YES")+COUNTIF(INDIRECT("'"&amp;$C$3&amp;"'!J21"),"YES")+COUNTIF(INDIRECT("'"&amp;$D$3&amp;"'!J21"),"YES")+COUNTIF(INDIRECT("'"&amp;$E$3&amp;"'!J21"),"YES")+COUNTIF(INDIRECT("'"&amp;$F$3&amp;"'!J21"),"YES")+COUNTIF(INDIRECT("'"&amp;$G$3&amp;"'!J21"),"YES")+COUNTIF(INDIRECT("'"&amp;$H$3&amp;"'!J21"),"YES")+COUNTIF(INDIRECT("'"&amp;$I$3&amp;"'!J21"),"YES"))/8,0)</f>
        <v>0</v>
      </c>
      <c r="K23" s="16" t="n">
        <f aca="true">IFERROR((COUNTIF(INDIRECT("'"&amp;$B$3&amp;"'!K21"),"YES")+COUNTIF(INDIRECT("'"&amp;$C$3&amp;"'!K21"),"YES")+COUNTIF(INDIRECT("'"&amp;$D$3&amp;"'!K21"),"YES")+COUNTIF(INDIRECT("'"&amp;$E$3&amp;"'!K21"),"YES")+COUNTIF(INDIRECT("'"&amp;$F$3&amp;"'!K21"),"YES")+COUNTIF(INDIRECT("'"&amp;$G$3&amp;"'!K21"),"YES")+COUNTIF(INDIRECT("'"&amp;$H$3&amp;"'!K21"),"YES")+COUNTIF(INDIRECT("'"&amp;$I$3&amp;"'!K21"),"YES"))/8,0)</f>
        <v>0</v>
      </c>
      <c r="L23" s="16" t="n">
        <f aca="true">IFERROR((COUNTIF(INDIRECT("'"&amp;$B$3&amp;"'!L21"),"YES")+COUNTIF(INDIRECT("'"&amp;$C$3&amp;"'!L21"),"YES")+COUNTIF(INDIRECT("'"&amp;$D$3&amp;"'!L21"),"YES")+COUNTIF(INDIRECT("'"&amp;$E$3&amp;"'!L21"),"YES")+COUNTIF(INDIRECT("'"&amp;$F$3&amp;"'!L21"),"YES")+COUNTIF(INDIRECT("'"&amp;$G$3&amp;"'!L21"),"YES")+COUNTIF(INDIRECT("'"&amp;$H$3&amp;"'!L21"),"YES")+COUNTIF(INDIRECT("'"&amp;$I$3&amp;"'!L21"),"YES"))/8,0)</f>
        <v>0</v>
      </c>
      <c r="M23" s="17" t="n">
        <f aca="false">IFERROR((J23*3)+(G23*1)+(H23*2)+(I23*2)-(L23*2),0)</f>
        <v>0</v>
      </c>
      <c r="N23" s="7"/>
    </row>
    <row r="24" customFormat="false" ht="15" hidden="false" customHeight="false" outlineLevel="0" collapsed="false">
      <c r="A24" s="5" t="n">
        <v>19</v>
      </c>
      <c r="B24" s="5" t="s">
        <v>62</v>
      </c>
      <c r="C24" s="5" t="s">
        <v>51</v>
      </c>
      <c r="D24" s="5" t="s">
        <v>70</v>
      </c>
      <c r="E24" s="14" t="n">
        <f aca="true">IFERROR((COUNTIF(INDIRECT("'"&amp;$B$3&amp;"'!E22"),"YES")+COUNTIF(INDIRECT("'"&amp;$C$3&amp;"'!E22"),"YES")+COUNTIF(INDIRECT("'"&amp;$D$3&amp;"'!E22"),"YES")+COUNTIF(INDIRECT("'"&amp;$E$3&amp;"'!E22"),"YES")+COUNTIF(INDIRECT("'"&amp;$F$3&amp;"'!E22"),"YES")+COUNTIF(INDIRECT("'"&amp;$G$3&amp;"'!E22"),"YES")+COUNTIF(INDIRECT("'"&amp;$H$3&amp;"'!E22"),"YES")+COUNTIF(INDIRECT("'"&amp;$I$3&amp;"'!E22"),"YES"))/8,0)</f>
        <v>0</v>
      </c>
      <c r="F24" s="15" t="n">
        <f aca="true">IFERROR((IFERROR(VALUE(SUBSTITUTE(INDIRECT("'"&amp;$B$3&amp;"'!F22"),"5+","5")),0)+IFERROR(VALUE(SUBSTITUTE(INDIRECT("'"&amp;$C$3&amp;"'!F22"),"5+","5")),0)+IFERROR(VALUE(SUBSTITUTE(INDIRECT("'"&amp;$D$3&amp;"'!F22"),"5+","5")),0)+IFERROR(VALUE(SUBSTITUTE(INDIRECT("'"&amp;$E$3&amp;"'!F22"),"5+","5")),0)+IFERROR(VALUE(SUBSTITUTE(INDIRECT("'"&amp;$F$3&amp;"'!F22"),"5+","5")),0)+IFERROR(VALUE(SUBSTITUTE(INDIRECT("'"&amp;$G$3&amp;"'!F22"),"5+","5")),0)+IFERROR(VALUE(SUBSTITUTE(INDIRECT("'"&amp;$H$3&amp;"'!F22"),"5+","5")),0)+IFERROR(VALUE(SUBSTITUTE(INDIRECT("'"&amp;$I$3&amp;"'!F22"),"5+","5")),0))/8,0)</f>
        <v>0</v>
      </c>
      <c r="G24" s="14" t="n">
        <f aca="true">IFERROR((COUNTIF(INDIRECT("'"&amp;$B$3&amp;"'!G22"),"YES")+COUNTIF(INDIRECT("'"&amp;$C$3&amp;"'!G22"),"YES")+COUNTIF(INDIRECT("'"&amp;$D$3&amp;"'!G22"),"YES")+COUNTIF(INDIRECT("'"&amp;$E$3&amp;"'!G22"),"YES")+COUNTIF(INDIRECT("'"&amp;$F$3&amp;"'!G22"),"YES")+COUNTIF(INDIRECT("'"&amp;$G$3&amp;"'!G22"),"YES")+COUNTIF(INDIRECT("'"&amp;$H$3&amp;"'!G22"),"YES")+COUNTIF(INDIRECT("'"&amp;$I$3&amp;"'!G22"),"YES"))/8,0)</f>
        <v>0</v>
      </c>
      <c r="H24" s="14" t="n">
        <f aca="true">IFERROR((COUNTIF(INDIRECT("'"&amp;$B$3&amp;"'!H22"),"YES")+COUNTIF(INDIRECT("'"&amp;$C$3&amp;"'!H22"),"YES")+COUNTIF(INDIRECT("'"&amp;$D$3&amp;"'!H22"),"YES")+COUNTIF(INDIRECT("'"&amp;$E$3&amp;"'!H22"),"YES")+COUNTIF(INDIRECT("'"&amp;$F$3&amp;"'!H22"),"YES")+COUNTIF(INDIRECT("'"&amp;$G$3&amp;"'!H22"),"YES")+COUNTIF(INDIRECT("'"&amp;$H$3&amp;"'!H22"),"YES")+COUNTIF(INDIRECT("'"&amp;$I$3&amp;"'!H22"),"YES"))/8,0)</f>
        <v>0</v>
      </c>
      <c r="I24" s="14" t="n">
        <f aca="true">IFERROR((COUNTIF(INDIRECT("'"&amp;$B$3&amp;"'!I22"),"YES")+COUNTIF(INDIRECT("'"&amp;$C$3&amp;"'!I22"),"YES")+COUNTIF(INDIRECT("'"&amp;$D$3&amp;"'!I22"),"YES")+COUNTIF(INDIRECT("'"&amp;$E$3&amp;"'!I22"),"YES")+COUNTIF(INDIRECT("'"&amp;$F$3&amp;"'!I22"),"YES")+COUNTIF(INDIRECT("'"&amp;$G$3&amp;"'!I22"),"YES")+COUNTIF(INDIRECT("'"&amp;$H$3&amp;"'!I22"),"YES")+COUNTIF(INDIRECT("'"&amp;$I$3&amp;"'!I22"),"YES"))/8,0)</f>
        <v>0</v>
      </c>
      <c r="J24" s="14" t="n">
        <f aca="true">IFERROR((COUNTIF(INDIRECT("'"&amp;$B$3&amp;"'!J22"),"YES")+COUNTIF(INDIRECT("'"&amp;$C$3&amp;"'!J22"),"YES")+COUNTIF(INDIRECT("'"&amp;$D$3&amp;"'!J22"),"YES")+COUNTIF(INDIRECT("'"&amp;$E$3&amp;"'!J22"),"YES")+COUNTIF(INDIRECT("'"&amp;$F$3&amp;"'!J22"),"YES")+COUNTIF(INDIRECT("'"&amp;$G$3&amp;"'!J22"),"YES")+COUNTIF(INDIRECT("'"&amp;$H$3&amp;"'!J22"),"YES")+COUNTIF(INDIRECT("'"&amp;$I$3&amp;"'!J22"),"YES"))/8,0)</f>
        <v>0</v>
      </c>
      <c r="K24" s="14" t="n">
        <f aca="true">IFERROR((COUNTIF(INDIRECT("'"&amp;$B$3&amp;"'!K22"),"YES")+COUNTIF(INDIRECT("'"&amp;$C$3&amp;"'!K22"),"YES")+COUNTIF(INDIRECT("'"&amp;$D$3&amp;"'!K22"),"YES")+COUNTIF(INDIRECT("'"&amp;$E$3&amp;"'!K22"),"YES")+COUNTIF(INDIRECT("'"&amp;$F$3&amp;"'!K22"),"YES")+COUNTIF(INDIRECT("'"&amp;$G$3&amp;"'!K22"),"YES")+COUNTIF(INDIRECT("'"&amp;$H$3&amp;"'!K22"),"YES")+COUNTIF(INDIRECT("'"&amp;$I$3&amp;"'!K22"),"YES"))/8,0)</f>
        <v>0</v>
      </c>
      <c r="L24" s="14" t="n">
        <f aca="true">IFERROR((COUNTIF(INDIRECT("'"&amp;$B$3&amp;"'!L22"),"YES")+COUNTIF(INDIRECT("'"&amp;$C$3&amp;"'!L22"),"YES")+COUNTIF(INDIRECT("'"&amp;$D$3&amp;"'!L22"),"YES")+COUNTIF(INDIRECT("'"&amp;$E$3&amp;"'!L22"),"YES")+COUNTIF(INDIRECT("'"&amp;$F$3&amp;"'!L22"),"YES")+COUNTIF(INDIRECT("'"&amp;$G$3&amp;"'!L22"),"YES")+COUNTIF(INDIRECT("'"&amp;$H$3&amp;"'!L22"),"YES")+COUNTIF(INDIRECT("'"&amp;$I$3&amp;"'!L22"),"YES"))/8,0)</f>
        <v>0</v>
      </c>
      <c r="M24" s="15" t="n">
        <f aca="false">IFERROR((J24*3)+(G24*1)+(H24*2)+(I24*2)-(L24*2),0)</f>
        <v>0</v>
      </c>
      <c r="N24" s="5"/>
    </row>
    <row r="25" customFormat="false" ht="15" hidden="false" customHeight="false" outlineLevel="0" collapsed="false">
      <c r="A25" s="7" t="n">
        <v>20</v>
      </c>
      <c r="B25" s="7" t="s">
        <v>62</v>
      </c>
      <c r="C25" s="7" t="s">
        <v>54</v>
      </c>
      <c r="D25" s="7" t="s">
        <v>72</v>
      </c>
      <c r="E25" s="16" t="n">
        <f aca="true">IFERROR((COUNTIF(INDIRECT("'"&amp;$B$3&amp;"'!E23"),"YES")+COUNTIF(INDIRECT("'"&amp;$C$3&amp;"'!E23"),"YES")+COUNTIF(INDIRECT("'"&amp;$D$3&amp;"'!E23"),"YES")+COUNTIF(INDIRECT("'"&amp;$E$3&amp;"'!E23"),"YES")+COUNTIF(INDIRECT("'"&amp;$F$3&amp;"'!E23"),"YES")+COUNTIF(INDIRECT("'"&amp;$G$3&amp;"'!E23"),"YES")+COUNTIF(INDIRECT("'"&amp;$H$3&amp;"'!E23"),"YES")+COUNTIF(INDIRECT("'"&amp;$I$3&amp;"'!E23"),"YES"))/8,0)</f>
        <v>0</v>
      </c>
      <c r="F25" s="17" t="n">
        <f aca="true">IFERROR((IFERROR(VALUE(SUBSTITUTE(INDIRECT("'"&amp;$B$3&amp;"'!F23"),"5+","5")),0)+IFERROR(VALUE(SUBSTITUTE(INDIRECT("'"&amp;$C$3&amp;"'!F23"),"5+","5")),0)+IFERROR(VALUE(SUBSTITUTE(INDIRECT("'"&amp;$D$3&amp;"'!F23"),"5+","5")),0)+IFERROR(VALUE(SUBSTITUTE(INDIRECT("'"&amp;$E$3&amp;"'!F23"),"5+","5")),0)+IFERROR(VALUE(SUBSTITUTE(INDIRECT("'"&amp;$F$3&amp;"'!F23"),"5+","5")),0)+IFERROR(VALUE(SUBSTITUTE(INDIRECT("'"&amp;$G$3&amp;"'!F23"),"5+","5")),0)+IFERROR(VALUE(SUBSTITUTE(INDIRECT("'"&amp;$H$3&amp;"'!F23"),"5+","5")),0)+IFERROR(VALUE(SUBSTITUTE(INDIRECT("'"&amp;$I$3&amp;"'!F23"),"5+","5")),0))/8,0)</f>
        <v>0</v>
      </c>
      <c r="G25" s="16" t="n">
        <f aca="true">IFERROR((COUNTIF(INDIRECT("'"&amp;$B$3&amp;"'!G23"),"YES")+COUNTIF(INDIRECT("'"&amp;$C$3&amp;"'!G23"),"YES")+COUNTIF(INDIRECT("'"&amp;$D$3&amp;"'!G23"),"YES")+COUNTIF(INDIRECT("'"&amp;$E$3&amp;"'!G23"),"YES")+COUNTIF(INDIRECT("'"&amp;$F$3&amp;"'!G23"),"YES")+COUNTIF(INDIRECT("'"&amp;$G$3&amp;"'!G23"),"YES")+COUNTIF(INDIRECT("'"&amp;$H$3&amp;"'!G23"),"YES")+COUNTIF(INDIRECT("'"&amp;$I$3&amp;"'!G23"),"YES"))/8,0)</f>
        <v>0</v>
      </c>
      <c r="H25" s="16" t="n">
        <f aca="true">IFERROR((COUNTIF(INDIRECT("'"&amp;$B$3&amp;"'!H23"),"YES")+COUNTIF(INDIRECT("'"&amp;$C$3&amp;"'!H23"),"YES")+COUNTIF(INDIRECT("'"&amp;$D$3&amp;"'!H23"),"YES")+COUNTIF(INDIRECT("'"&amp;$E$3&amp;"'!H23"),"YES")+COUNTIF(INDIRECT("'"&amp;$F$3&amp;"'!H23"),"YES")+COUNTIF(INDIRECT("'"&amp;$G$3&amp;"'!H23"),"YES")+COUNTIF(INDIRECT("'"&amp;$H$3&amp;"'!H23"),"YES")+COUNTIF(INDIRECT("'"&amp;$I$3&amp;"'!H23"),"YES"))/8,0)</f>
        <v>0</v>
      </c>
      <c r="I25" s="16" t="n">
        <f aca="true">IFERROR((COUNTIF(INDIRECT("'"&amp;$B$3&amp;"'!I23"),"YES")+COUNTIF(INDIRECT("'"&amp;$C$3&amp;"'!I23"),"YES")+COUNTIF(INDIRECT("'"&amp;$D$3&amp;"'!I23"),"YES")+COUNTIF(INDIRECT("'"&amp;$E$3&amp;"'!I23"),"YES")+COUNTIF(INDIRECT("'"&amp;$F$3&amp;"'!I23"),"YES")+COUNTIF(INDIRECT("'"&amp;$G$3&amp;"'!I23"),"YES")+COUNTIF(INDIRECT("'"&amp;$H$3&amp;"'!I23"),"YES")+COUNTIF(INDIRECT("'"&amp;$I$3&amp;"'!I23"),"YES"))/8,0)</f>
        <v>0</v>
      </c>
      <c r="J25" s="16" t="n">
        <f aca="true">IFERROR((COUNTIF(INDIRECT("'"&amp;$B$3&amp;"'!J23"),"YES")+COUNTIF(INDIRECT("'"&amp;$C$3&amp;"'!J23"),"YES")+COUNTIF(INDIRECT("'"&amp;$D$3&amp;"'!J23"),"YES")+COUNTIF(INDIRECT("'"&amp;$E$3&amp;"'!J23"),"YES")+COUNTIF(INDIRECT("'"&amp;$F$3&amp;"'!J23"),"YES")+COUNTIF(INDIRECT("'"&amp;$G$3&amp;"'!J23"),"YES")+COUNTIF(INDIRECT("'"&amp;$H$3&amp;"'!J23"),"YES")+COUNTIF(INDIRECT("'"&amp;$I$3&amp;"'!J23"),"YES"))/8,0)</f>
        <v>0</v>
      </c>
      <c r="K25" s="16" t="n">
        <f aca="true">IFERROR((COUNTIF(INDIRECT("'"&amp;$B$3&amp;"'!K23"),"YES")+COUNTIF(INDIRECT("'"&amp;$C$3&amp;"'!K23"),"YES")+COUNTIF(INDIRECT("'"&amp;$D$3&amp;"'!K23"),"YES")+COUNTIF(INDIRECT("'"&amp;$E$3&amp;"'!K23"),"YES")+COUNTIF(INDIRECT("'"&amp;$F$3&amp;"'!K23"),"YES")+COUNTIF(INDIRECT("'"&amp;$G$3&amp;"'!K23"),"YES")+COUNTIF(INDIRECT("'"&amp;$H$3&amp;"'!K23"),"YES")+COUNTIF(INDIRECT("'"&amp;$I$3&amp;"'!K23"),"YES"))/8,0)</f>
        <v>0</v>
      </c>
      <c r="L25" s="16" t="n">
        <f aca="true">IFERROR((COUNTIF(INDIRECT("'"&amp;$B$3&amp;"'!L23"),"YES")+COUNTIF(INDIRECT("'"&amp;$C$3&amp;"'!L23"),"YES")+COUNTIF(INDIRECT("'"&amp;$D$3&amp;"'!L23"),"YES")+COUNTIF(INDIRECT("'"&amp;$E$3&amp;"'!L23"),"YES")+COUNTIF(INDIRECT("'"&amp;$F$3&amp;"'!L23"),"YES")+COUNTIF(INDIRECT("'"&amp;$G$3&amp;"'!L23"),"YES")+COUNTIF(INDIRECT("'"&amp;$H$3&amp;"'!L23"),"YES")+COUNTIF(INDIRECT("'"&amp;$I$3&amp;"'!L23"),"YES"))/8,0)</f>
        <v>0</v>
      </c>
      <c r="M25" s="17" t="n">
        <f aca="false">IFERROR((J25*3)+(G25*1)+(H25*2)+(I25*2)-(L25*2),0)</f>
        <v>0</v>
      </c>
      <c r="N25" s="7"/>
    </row>
    <row r="26" customFormat="false" ht="15" hidden="false" customHeight="false" outlineLevel="0" collapsed="false">
      <c r="A26" s="5" t="n">
        <v>21</v>
      </c>
      <c r="B26" s="5" t="s">
        <v>62</v>
      </c>
      <c r="C26" s="5" t="s">
        <v>56</v>
      </c>
      <c r="D26" s="5" t="s">
        <v>74</v>
      </c>
      <c r="E26" s="14" t="n">
        <f aca="true">IFERROR((COUNTIF(INDIRECT("'"&amp;$B$3&amp;"'!E24"),"YES")+COUNTIF(INDIRECT("'"&amp;$C$3&amp;"'!E24"),"YES")+COUNTIF(INDIRECT("'"&amp;$D$3&amp;"'!E24"),"YES")+COUNTIF(INDIRECT("'"&amp;$E$3&amp;"'!E24"),"YES")+COUNTIF(INDIRECT("'"&amp;$F$3&amp;"'!E24"),"YES")+COUNTIF(INDIRECT("'"&amp;$G$3&amp;"'!E24"),"YES")+COUNTIF(INDIRECT("'"&amp;$H$3&amp;"'!E24"),"YES")+COUNTIF(INDIRECT("'"&amp;$I$3&amp;"'!E24"),"YES"))/8,0)</f>
        <v>0</v>
      </c>
      <c r="F26" s="15" t="n">
        <f aca="true">IFERROR((IFERROR(VALUE(SUBSTITUTE(INDIRECT("'"&amp;$B$3&amp;"'!F24"),"5+","5")),0)+IFERROR(VALUE(SUBSTITUTE(INDIRECT("'"&amp;$C$3&amp;"'!F24"),"5+","5")),0)+IFERROR(VALUE(SUBSTITUTE(INDIRECT("'"&amp;$D$3&amp;"'!F24"),"5+","5")),0)+IFERROR(VALUE(SUBSTITUTE(INDIRECT("'"&amp;$E$3&amp;"'!F24"),"5+","5")),0)+IFERROR(VALUE(SUBSTITUTE(INDIRECT("'"&amp;$F$3&amp;"'!F24"),"5+","5")),0)+IFERROR(VALUE(SUBSTITUTE(INDIRECT("'"&amp;$G$3&amp;"'!F24"),"5+","5")),0)+IFERROR(VALUE(SUBSTITUTE(INDIRECT("'"&amp;$H$3&amp;"'!F24"),"5+","5")),0)+IFERROR(VALUE(SUBSTITUTE(INDIRECT("'"&amp;$I$3&amp;"'!F24"),"5+","5")),0))/8,0)</f>
        <v>0</v>
      </c>
      <c r="G26" s="14" t="n">
        <f aca="true">IFERROR((COUNTIF(INDIRECT("'"&amp;$B$3&amp;"'!G24"),"YES")+COUNTIF(INDIRECT("'"&amp;$C$3&amp;"'!G24"),"YES")+COUNTIF(INDIRECT("'"&amp;$D$3&amp;"'!G24"),"YES")+COUNTIF(INDIRECT("'"&amp;$E$3&amp;"'!G24"),"YES")+COUNTIF(INDIRECT("'"&amp;$F$3&amp;"'!G24"),"YES")+COUNTIF(INDIRECT("'"&amp;$G$3&amp;"'!G24"),"YES")+COUNTIF(INDIRECT("'"&amp;$H$3&amp;"'!G24"),"YES")+COUNTIF(INDIRECT("'"&amp;$I$3&amp;"'!G24"),"YES"))/8,0)</f>
        <v>0</v>
      </c>
      <c r="H26" s="14" t="n">
        <f aca="true">IFERROR((COUNTIF(INDIRECT("'"&amp;$B$3&amp;"'!H24"),"YES")+COUNTIF(INDIRECT("'"&amp;$C$3&amp;"'!H24"),"YES")+COUNTIF(INDIRECT("'"&amp;$D$3&amp;"'!H24"),"YES")+COUNTIF(INDIRECT("'"&amp;$E$3&amp;"'!H24"),"YES")+COUNTIF(INDIRECT("'"&amp;$F$3&amp;"'!H24"),"YES")+COUNTIF(INDIRECT("'"&amp;$G$3&amp;"'!H24"),"YES")+COUNTIF(INDIRECT("'"&amp;$H$3&amp;"'!H24"),"YES")+COUNTIF(INDIRECT("'"&amp;$I$3&amp;"'!H24"),"YES"))/8,0)</f>
        <v>0</v>
      </c>
      <c r="I26" s="14" t="n">
        <f aca="true">IFERROR((COUNTIF(INDIRECT("'"&amp;$B$3&amp;"'!I24"),"YES")+COUNTIF(INDIRECT("'"&amp;$C$3&amp;"'!I24"),"YES")+COUNTIF(INDIRECT("'"&amp;$D$3&amp;"'!I24"),"YES")+COUNTIF(INDIRECT("'"&amp;$E$3&amp;"'!I24"),"YES")+COUNTIF(INDIRECT("'"&amp;$F$3&amp;"'!I24"),"YES")+COUNTIF(INDIRECT("'"&amp;$G$3&amp;"'!I24"),"YES")+COUNTIF(INDIRECT("'"&amp;$H$3&amp;"'!I24"),"YES")+COUNTIF(INDIRECT("'"&amp;$I$3&amp;"'!I24"),"YES"))/8,0)</f>
        <v>0</v>
      </c>
      <c r="J26" s="14" t="n">
        <f aca="true">IFERROR((COUNTIF(INDIRECT("'"&amp;$B$3&amp;"'!J24"),"YES")+COUNTIF(INDIRECT("'"&amp;$C$3&amp;"'!J24"),"YES")+COUNTIF(INDIRECT("'"&amp;$D$3&amp;"'!J24"),"YES")+COUNTIF(INDIRECT("'"&amp;$E$3&amp;"'!J24"),"YES")+COUNTIF(INDIRECT("'"&amp;$F$3&amp;"'!J24"),"YES")+COUNTIF(INDIRECT("'"&amp;$G$3&amp;"'!J24"),"YES")+COUNTIF(INDIRECT("'"&amp;$H$3&amp;"'!J24"),"YES")+COUNTIF(INDIRECT("'"&amp;$I$3&amp;"'!J24"),"YES"))/8,0)</f>
        <v>0</v>
      </c>
      <c r="K26" s="14" t="n">
        <f aca="true">IFERROR((COUNTIF(INDIRECT("'"&amp;$B$3&amp;"'!K24"),"YES")+COUNTIF(INDIRECT("'"&amp;$C$3&amp;"'!K24"),"YES")+COUNTIF(INDIRECT("'"&amp;$D$3&amp;"'!K24"),"YES")+COUNTIF(INDIRECT("'"&amp;$E$3&amp;"'!K24"),"YES")+COUNTIF(INDIRECT("'"&amp;$F$3&amp;"'!K24"),"YES")+COUNTIF(INDIRECT("'"&amp;$G$3&amp;"'!K24"),"YES")+COUNTIF(INDIRECT("'"&amp;$H$3&amp;"'!K24"),"YES")+COUNTIF(INDIRECT("'"&amp;$I$3&amp;"'!K24"),"YES"))/8,0)</f>
        <v>0</v>
      </c>
      <c r="L26" s="14" t="n">
        <f aca="true">IFERROR((COUNTIF(INDIRECT("'"&amp;$B$3&amp;"'!L24"),"YES")+COUNTIF(INDIRECT("'"&amp;$C$3&amp;"'!L24"),"YES")+COUNTIF(INDIRECT("'"&amp;$D$3&amp;"'!L24"),"YES")+COUNTIF(INDIRECT("'"&amp;$E$3&amp;"'!L24"),"YES")+COUNTIF(INDIRECT("'"&amp;$F$3&amp;"'!L24"),"YES")+COUNTIF(INDIRECT("'"&amp;$G$3&amp;"'!L24"),"YES")+COUNTIF(INDIRECT("'"&amp;$H$3&amp;"'!L24"),"YES")+COUNTIF(INDIRECT("'"&amp;$I$3&amp;"'!L24"),"YES"))/8,0)</f>
        <v>0</v>
      </c>
      <c r="M26" s="15" t="n">
        <f aca="false">IFERROR((J26*3)+(G26*1)+(H26*2)+(I26*2)-(L26*2),0)</f>
        <v>0</v>
      </c>
      <c r="N26" s="5"/>
    </row>
    <row r="27" customFormat="false" ht="15" hidden="false" customHeight="false" outlineLevel="0" collapsed="false">
      <c r="A27" s="7" t="n">
        <v>22</v>
      </c>
      <c r="B27" s="7" t="s">
        <v>62</v>
      </c>
      <c r="C27" s="7" t="s">
        <v>58</v>
      </c>
      <c r="D27" s="7" t="s">
        <v>75</v>
      </c>
      <c r="E27" s="16" t="n">
        <f aca="true">IFERROR((COUNTIF(INDIRECT("'"&amp;$B$3&amp;"'!E25"),"YES")+COUNTIF(INDIRECT("'"&amp;$C$3&amp;"'!E25"),"YES")+COUNTIF(INDIRECT("'"&amp;$D$3&amp;"'!E25"),"YES")+COUNTIF(INDIRECT("'"&amp;$E$3&amp;"'!E25"),"YES")+COUNTIF(INDIRECT("'"&amp;$F$3&amp;"'!E25"),"YES")+COUNTIF(INDIRECT("'"&amp;$G$3&amp;"'!E25"),"YES")+COUNTIF(INDIRECT("'"&amp;$H$3&amp;"'!E25"),"YES")+COUNTIF(INDIRECT("'"&amp;$I$3&amp;"'!E25"),"YES"))/8,0)</f>
        <v>0</v>
      </c>
      <c r="F27" s="17" t="n">
        <f aca="true">IFERROR((IFERROR(VALUE(SUBSTITUTE(INDIRECT("'"&amp;$B$3&amp;"'!F25"),"5+","5")),0)+IFERROR(VALUE(SUBSTITUTE(INDIRECT("'"&amp;$C$3&amp;"'!F25"),"5+","5")),0)+IFERROR(VALUE(SUBSTITUTE(INDIRECT("'"&amp;$D$3&amp;"'!F25"),"5+","5")),0)+IFERROR(VALUE(SUBSTITUTE(INDIRECT("'"&amp;$E$3&amp;"'!F25"),"5+","5")),0)+IFERROR(VALUE(SUBSTITUTE(INDIRECT("'"&amp;$F$3&amp;"'!F25"),"5+","5")),0)+IFERROR(VALUE(SUBSTITUTE(INDIRECT("'"&amp;$G$3&amp;"'!F25"),"5+","5")),0)+IFERROR(VALUE(SUBSTITUTE(INDIRECT("'"&amp;$H$3&amp;"'!F25"),"5+","5")),0)+IFERROR(VALUE(SUBSTITUTE(INDIRECT("'"&amp;$I$3&amp;"'!F25"),"5+","5")),0))/8,0)</f>
        <v>0</v>
      </c>
      <c r="G27" s="16" t="n">
        <f aca="true">IFERROR((COUNTIF(INDIRECT("'"&amp;$B$3&amp;"'!G25"),"YES")+COUNTIF(INDIRECT("'"&amp;$C$3&amp;"'!G25"),"YES")+COUNTIF(INDIRECT("'"&amp;$D$3&amp;"'!G25"),"YES")+COUNTIF(INDIRECT("'"&amp;$E$3&amp;"'!G25"),"YES")+COUNTIF(INDIRECT("'"&amp;$F$3&amp;"'!G25"),"YES")+COUNTIF(INDIRECT("'"&amp;$G$3&amp;"'!G25"),"YES")+COUNTIF(INDIRECT("'"&amp;$H$3&amp;"'!G25"),"YES")+COUNTIF(INDIRECT("'"&amp;$I$3&amp;"'!G25"),"YES"))/8,0)</f>
        <v>0</v>
      </c>
      <c r="H27" s="16" t="n">
        <f aca="true">IFERROR((COUNTIF(INDIRECT("'"&amp;$B$3&amp;"'!H25"),"YES")+COUNTIF(INDIRECT("'"&amp;$C$3&amp;"'!H25"),"YES")+COUNTIF(INDIRECT("'"&amp;$D$3&amp;"'!H25"),"YES")+COUNTIF(INDIRECT("'"&amp;$E$3&amp;"'!H25"),"YES")+COUNTIF(INDIRECT("'"&amp;$F$3&amp;"'!H25"),"YES")+COUNTIF(INDIRECT("'"&amp;$G$3&amp;"'!H25"),"YES")+COUNTIF(INDIRECT("'"&amp;$H$3&amp;"'!H25"),"YES")+COUNTIF(INDIRECT("'"&amp;$I$3&amp;"'!H25"),"YES"))/8,0)</f>
        <v>0</v>
      </c>
      <c r="I27" s="16" t="n">
        <f aca="true">IFERROR((COUNTIF(INDIRECT("'"&amp;$B$3&amp;"'!I25"),"YES")+COUNTIF(INDIRECT("'"&amp;$C$3&amp;"'!I25"),"YES")+COUNTIF(INDIRECT("'"&amp;$D$3&amp;"'!I25"),"YES")+COUNTIF(INDIRECT("'"&amp;$E$3&amp;"'!I25"),"YES")+COUNTIF(INDIRECT("'"&amp;$F$3&amp;"'!I25"),"YES")+COUNTIF(INDIRECT("'"&amp;$G$3&amp;"'!I25"),"YES")+COUNTIF(INDIRECT("'"&amp;$H$3&amp;"'!I25"),"YES")+COUNTIF(INDIRECT("'"&amp;$I$3&amp;"'!I25"),"YES"))/8,0)</f>
        <v>0</v>
      </c>
      <c r="J27" s="16" t="n">
        <f aca="true">IFERROR((COUNTIF(INDIRECT("'"&amp;$B$3&amp;"'!J25"),"YES")+COUNTIF(INDIRECT("'"&amp;$C$3&amp;"'!J25"),"YES")+COUNTIF(INDIRECT("'"&amp;$D$3&amp;"'!J25"),"YES")+COUNTIF(INDIRECT("'"&amp;$E$3&amp;"'!J25"),"YES")+COUNTIF(INDIRECT("'"&amp;$F$3&amp;"'!J25"),"YES")+COUNTIF(INDIRECT("'"&amp;$G$3&amp;"'!J25"),"YES")+COUNTIF(INDIRECT("'"&amp;$H$3&amp;"'!J25"),"YES")+COUNTIF(INDIRECT("'"&amp;$I$3&amp;"'!J25"),"YES"))/8,0)</f>
        <v>0</v>
      </c>
      <c r="K27" s="16" t="n">
        <f aca="true">IFERROR((COUNTIF(INDIRECT("'"&amp;$B$3&amp;"'!K25"),"YES")+COUNTIF(INDIRECT("'"&amp;$C$3&amp;"'!K25"),"YES")+COUNTIF(INDIRECT("'"&amp;$D$3&amp;"'!K25"),"YES")+COUNTIF(INDIRECT("'"&amp;$E$3&amp;"'!K25"),"YES")+COUNTIF(INDIRECT("'"&amp;$F$3&amp;"'!K25"),"YES")+COUNTIF(INDIRECT("'"&amp;$G$3&amp;"'!K25"),"YES")+COUNTIF(INDIRECT("'"&amp;$H$3&amp;"'!K25"),"YES")+COUNTIF(INDIRECT("'"&amp;$I$3&amp;"'!K25"),"YES"))/8,0)</f>
        <v>0</v>
      </c>
      <c r="L27" s="16" t="n">
        <f aca="true">IFERROR((COUNTIF(INDIRECT("'"&amp;$B$3&amp;"'!L25"),"YES")+COUNTIF(INDIRECT("'"&amp;$C$3&amp;"'!L25"),"YES")+COUNTIF(INDIRECT("'"&amp;$D$3&amp;"'!L25"),"YES")+COUNTIF(INDIRECT("'"&amp;$E$3&amp;"'!L25"),"YES")+COUNTIF(INDIRECT("'"&amp;$F$3&amp;"'!L25"),"YES")+COUNTIF(INDIRECT("'"&amp;$G$3&amp;"'!L25"),"YES")+COUNTIF(INDIRECT("'"&amp;$H$3&amp;"'!L25"),"YES")+COUNTIF(INDIRECT("'"&amp;$I$3&amp;"'!L25"),"YES"))/8,0)</f>
        <v>0</v>
      </c>
      <c r="M27" s="17" t="n">
        <f aca="false">IFERROR((J27*3)+(G27*1)+(H27*2)+(I27*2)-(L27*2),0)</f>
        <v>0</v>
      </c>
      <c r="N27" s="7"/>
    </row>
    <row r="28" customFormat="false" ht="15" hidden="false" customHeight="false" outlineLevel="0" collapsed="false">
      <c r="A28" s="5" t="n">
        <v>23</v>
      </c>
      <c r="B28" s="5" t="s">
        <v>76</v>
      </c>
      <c r="C28" s="5" t="s">
        <v>28</v>
      </c>
      <c r="D28" s="5" t="s">
        <v>29</v>
      </c>
      <c r="E28" s="14" t="n">
        <f aca="true">IFERROR((COUNTIF(INDIRECT("'"&amp;$B$3&amp;"'!E26"),"YES")+COUNTIF(INDIRECT("'"&amp;$C$3&amp;"'!E26"),"YES")+COUNTIF(INDIRECT("'"&amp;$D$3&amp;"'!E26"),"YES")+COUNTIF(INDIRECT("'"&amp;$E$3&amp;"'!E26"),"YES")+COUNTIF(INDIRECT("'"&amp;$F$3&amp;"'!E26"),"YES")+COUNTIF(INDIRECT("'"&amp;$G$3&amp;"'!E26"),"YES")+COUNTIF(INDIRECT("'"&amp;$H$3&amp;"'!E26"),"YES")+COUNTIF(INDIRECT("'"&amp;$I$3&amp;"'!E26"),"YES"))/8,0)</f>
        <v>0</v>
      </c>
      <c r="F28" s="15" t="n">
        <f aca="true">IFERROR((IFERROR(VALUE(SUBSTITUTE(INDIRECT("'"&amp;$B$3&amp;"'!F26"),"5+","5")),0)+IFERROR(VALUE(SUBSTITUTE(INDIRECT("'"&amp;$C$3&amp;"'!F26"),"5+","5")),0)+IFERROR(VALUE(SUBSTITUTE(INDIRECT("'"&amp;$D$3&amp;"'!F26"),"5+","5")),0)+IFERROR(VALUE(SUBSTITUTE(INDIRECT("'"&amp;$E$3&amp;"'!F26"),"5+","5")),0)+IFERROR(VALUE(SUBSTITUTE(INDIRECT("'"&amp;$F$3&amp;"'!F26"),"5+","5")),0)+IFERROR(VALUE(SUBSTITUTE(INDIRECT("'"&amp;$G$3&amp;"'!F26"),"5+","5")),0)+IFERROR(VALUE(SUBSTITUTE(INDIRECT("'"&amp;$H$3&amp;"'!F26"),"5+","5")),0)+IFERROR(VALUE(SUBSTITUTE(INDIRECT("'"&amp;$I$3&amp;"'!F26"),"5+","5")),0))/8,0)</f>
        <v>0</v>
      </c>
      <c r="G28" s="14" t="n">
        <f aca="true">IFERROR((COUNTIF(INDIRECT("'"&amp;$B$3&amp;"'!G26"),"YES")+COUNTIF(INDIRECT("'"&amp;$C$3&amp;"'!G26"),"YES")+COUNTIF(INDIRECT("'"&amp;$D$3&amp;"'!G26"),"YES")+COUNTIF(INDIRECT("'"&amp;$E$3&amp;"'!G26"),"YES")+COUNTIF(INDIRECT("'"&amp;$F$3&amp;"'!G26"),"YES")+COUNTIF(INDIRECT("'"&amp;$G$3&amp;"'!G26"),"YES")+COUNTIF(INDIRECT("'"&amp;$H$3&amp;"'!G26"),"YES")+COUNTIF(INDIRECT("'"&amp;$I$3&amp;"'!G26"),"YES"))/8,0)</f>
        <v>0</v>
      </c>
      <c r="H28" s="14" t="n">
        <f aca="true">IFERROR((COUNTIF(INDIRECT("'"&amp;$B$3&amp;"'!H26"),"YES")+COUNTIF(INDIRECT("'"&amp;$C$3&amp;"'!H26"),"YES")+COUNTIF(INDIRECT("'"&amp;$D$3&amp;"'!H26"),"YES")+COUNTIF(INDIRECT("'"&amp;$E$3&amp;"'!H26"),"YES")+COUNTIF(INDIRECT("'"&amp;$F$3&amp;"'!H26"),"YES")+COUNTIF(INDIRECT("'"&amp;$G$3&amp;"'!H26"),"YES")+COUNTIF(INDIRECT("'"&amp;$H$3&amp;"'!H26"),"YES")+COUNTIF(INDIRECT("'"&amp;$I$3&amp;"'!H26"),"YES"))/8,0)</f>
        <v>0</v>
      </c>
      <c r="I28" s="14" t="n">
        <f aca="true">IFERROR((COUNTIF(INDIRECT("'"&amp;$B$3&amp;"'!I26"),"YES")+COUNTIF(INDIRECT("'"&amp;$C$3&amp;"'!I26"),"YES")+COUNTIF(INDIRECT("'"&amp;$D$3&amp;"'!I26"),"YES")+COUNTIF(INDIRECT("'"&amp;$E$3&amp;"'!I26"),"YES")+COUNTIF(INDIRECT("'"&amp;$F$3&amp;"'!I26"),"YES")+COUNTIF(INDIRECT("'"&amp;$G$3&amp;"'!I26"),"YES")+COUNTIF(INDIRECT("'"&amp;$H$3&amp;"'!I26"),"YES")+COUNTIF(INDIRECT("'"&amp;$I$3&amp;"'!I26"),"YES"))/8,0)</f>
        <v>0</v>
      </c>
      <c r="J28" s="14" t="n">
        <f aca="true">IFERROR((COUNTIF(INDIRECT("'"&amp;$B$3&amp;"'!J26"),"YES")+COUNTIF(INDIRECT("'"&amp;$C$3&amp;"'!J26"),"YES")+COUNTIF(INDIRECT("'"&amp;$D$3&amp;"'!J26"),"YES")+COUNTIF(INDIRECT("'"&amp;$E$3&amp;"'!J26"),"YES")+COUNTIF(INDIRECT("'"&amp;$F$3&amp;"'!J26"),"YES")+COUNTIF(INDIRECT("'"&amp;$G$3&amp;"'!J26"),"YES")+COUNTIF(INDIRECT("'"&amp;$H$3&amp;"'!J26"),"YES")+COUNTIF(INDIRECT("'"&amp;$I$3&amp;"'!J26"),"YES"))/8,0)</f>
        <v>0</v>
      </c>
      <c r="K28" s="14" t="n">
        <f aca="true">IFERROR((COUNTIF(INDIRECT("'"&amp;$B$3&amp;"'!K26"),"YES")+COUNTIF(INDIRECT("'"&amp;$C$3&amp;"'!K26"),"YES")+COUNTIF(INDIRECT("'"&amp;$D$3&amp;"'!K26"),"YES")+COUNTIF(INDIRECT("'"&amp;$E$3&amp;"'!K26"),"YES")+COUNTIF(INDIRECT("'"&amp;$F$3&amp;"'!K26"),"YES")+COUNTIF(INDIRECT("'"&amp;$G$3&amp;"'!K26"),"YES")+COUNTIF(INDIRECT("'"&amp;$H$3&amp;"'!K26"),"YES")+COUNTIF(INDIRECT("'"&amp;$I$3&amp;"'!K26"),"YES"))/8,0)</f>
        <v>0</v>
      </c>
      <c r="L28" s="14" t="n">
        <f aca="true">IFERROR((COUNTIF(INDIRECT("'"&amp;$B$3&amp;"'!L26"),"YES")+COUNTIF(INDIRECT("'"&amp;$C$3&amp;"'!L26"),"YES")+COUNTIF(INDIRECT("'"&amp;$D$3&amp;"'!L26"),"YES")+COUNTIF(INDIRECT("'"&amp;$E$3&amp;"'!L26"),"YES")+COUNTIF(INDIRECT("'"&amp;$F$3&amp;"'!L26"),"YES")+COUNTIF(INDIRECT("'"&amp;$G$3&amp;"'!L26"),"YES")+COUNTIF(INDIRECT("'"&amp;$H$3&amp;"'!L26"),"YES")+COUNTIF(INDIRECT("'"&amp;$I$3&amp;"'!L26"),"YES"))/8,0)</f>
        <v>0</v>
      </c>
      <c r="M28" s="15" t="n">
        <f aca="false">IFERROR((J28*3)+(G28*1)+(H28*2)+(I28*2)-(L28*2),0)</f>
        <v>0</v>
      </c>
      <c r="N28" s="5"/>
    </row>
    <row r="29" customFormat="false" ht="15" hidden="false" customHeight="false" outlineLevel="0" collapsed="false">
      <c r="A29" s="7" t="n">
        <v>24</v>
      </c>
      <c r="B29" s="7" t="s">
        <v>76</v>
      </c>
      <c r="C29" s="7" t="s">
        <v>34</v>
      </c>
      <c r="D29" s="7" t="s">
        <v>77</v>
      </c>
      <c r="E29" s="16" t="n">
        <f aca="true">IFERROR((COUNTIF(INDIRECT("'"&amp;$B$3&amp;"'!E27"),"YES")+COUNTIF(INDIRECT("'"&amp;$C$3&amp;"'!E27"),"YES")+COUNTIF(INDIRECT("'"&amp;$D$3&amp;"'!E27"),"YES")+COUNTIF(INDIRECT("'"&amp;$E$3&amp;"'!E27"),"YES")+COUNTIF(INDIRECT("'"&amp;$F$3&amp;"'!E27"),"YES")+COUNTIF(INDIRECT("'"&amp;$G$3&amp;"'!E27"),"YES")+COUNTIF(INDIRECT("'"&amp;$H$3&amp;"'!E27"),"YES")+COUNTIF(INDIRECT("'"&amp;$I$3&amp;"'!E27"),"YES"))/8,0)</f>
        <v>0</v>
      </c>
      <c r="F29" s="17" t="n">
        <f aca="true">IFERROR((IFERROR(VALUE(SUBSTITUTE(INDIRECT("'"&amp;$B$3&amp;"'!F27"),"5+","5")),0)+IFERROR(VALUE(SUBSTITUTE(INDIRECT("'"&amp;$C$3&amp;"'!F27"),"5+","5")),0)+IFERROR(VALUE(SUBSTITUTE(INDIRECT("'"&amp;$D$3&amp;"'!F27"),"5+","5")),0)+IFERROR(VALUE(SUBSTITUTE(INDIRECT("'"&amp;$E$3&amp;"'!F27"),"5+","5")),0)+IFERROR(VALUE(SUBSTITUTE(INDIRECT("'"&amp;$F$3&amp;"'!F27"),"5+","5")),0)+IFERROR(VALUE(SUBSTITUTE(INDIRECT("'"&amp;$G$3&amp;"'!F27"),"5+","5")),0)+IFERROR(VALUE(SUBSTITUTE(INDIRECT("'"&amp;$H$3&amp;"'!F27"),"5+","5")),0)+IFERROR(VALUE(SUBSTITUTE(INDIRECT("'"&amp;$I$3&amp;"'!F27"),"5+","5")),0))/8,0)</f>
        <v>0</v>
      </c>
      <c r="G29" s="16" t="n">
        <f aca="true">IFERROR((COUNTIF(INDIRECT("'"&amp;$B$3&amp;"'!G27"),"YES")+COUNTIF(INDIRECT("'"&amp;$C$3&amp;"'!G27"),"YES")+COUNTIF(INDIRECT("'"&amp;$D$3&amp;"'!G27"),"YES")+COUNTIF(INDIRECT("'"&amp;$E$3&amp;"'!G27"),"YES")+COUNTIF(INDIRECT("'"&amp;$F$3&amp;"'!G27"),"YES")+COUNTIF(INDIRECT("'"&amp;$G$3&amp;"'!G27"),"YES")+COUNTIF(INDIRECT("'"&amp;$H$3&amp;"'!G27"),"YES")+COUNTIF(INDIRECT("'"&amp;$I$3&amp;"'!G27"),"YES"))/8,0)</f>
        <v>0</v>
      </c>
      <c r="H29" s="16" t="n">
        <f aca="true">IFERROR((COUNTIF(INDIRECT("'"&amp;$B$3&amp;"'!H27"),"YES")+COUNTIF(INDIRECT("'"&amp;$C$3&amp;"'!H27"),"YES")+COUNTIF(INDIRECT("'"&amp;$D$3&amp;"'!H27"),"YES")+COUNTIF(INDIRECT("'"&amp;$E$3&amp;"'!H27"),"YES")+COUNTIF(INDIRECT("'"&amp;$F$3&amp;"'!H27"),"YES")+COUNTIF(INDIRECT("'"&amp;$G$3&amp;"'!H27"),"YES")+COUNTIF(INDIRECT("'"&amp;$H$3&amp;"'!H27"),"YES")+COUNTIF(INDIRECT("'"&amp;$I$3&amp;"'!H27"),"YES"))/8,0)</f>
        <v>0</v>
      </c>
      <c r="I29" s="16" t="n">
        <f aca="true">IFERROR((COUNTIF(INDIRECT("'"&amp;$B$3&amp;"'!I27"),"YES")+COUNTIF(INDIRECT("'"&amp;$C$3&amp;"'!I27"),"YES")+COUNTIF(INDIRECT("'"&amp;$D$3&amp;"'!I27"),"YES")+COUNTIF(INDIRECT("'"&amp;$E$3&amp;"'!I27"),"YES")+COUNTIF(INDIRECT("'"&amp;$F$3&amp;"'!I27"),"YES")+COUNTIF(INDIRECT("'"&amp;$G$3&amp;"'!I27"),"YES")+COUNTIF(INDIRECT("'"&amp;$H$3&amp;"'!I27"),"YES")+COUNTIF(INDIRECT("'"&amp;$I$3&amp;"'!I27"),"YES"))/8,0)</f>
        <v>0</v>
      </c>
      <c r="J29" s="16" t="n">
        <f aca="true">IFERROR((COUNTIF(INDIRECT("'"&amp;$B$3&amp;"'!J27"),"YES")+COUNTIF(INDIRECT("'"&amp;$C$3&amp;"'!J27"),"YES")+COUNTIF(INDIRECT("'"&amp;$D$3&amp;"'!J27"),"YES")+COUNTIF(INDIRECT("'"&amp;$E$3&amp;"'!J27"),"YES")+COUNTIF(INDIRECT("'"&amp;$F$3&amp;"'!J27"),"YES")+COUNTIF(INDIRECT("'"&amp;$G$3&amp;"'!J27"),"YES")+COUNTIF(INDIRECT("'"&amp;$H$3&amp;"'!J27"),"YES")+COUNTIF(INDIRECT("'"&amp;$I$3&amp;"'!J27"),"YES"))/8,0)</f>
        <v>0</v>
      </c>
      <c r="K29" s="16" t="n">
        <f aca="true">IFERROR((COUNTIF(INDIRECT("'"&amp;$B$3&amp;"'!K27"),"YES")+COUNTIF(INDIRECT("'"&amp;$C$3&amp;"'!K27"),"YES")+COUNTIF(INDIRECT("'"&amp;$D$3&amp;"'!K27"),"YES")+COUNTIF(INDIRECT("'"&amp;$E$3&amp;"'!K27"),"YES")+COUNTIF(INDIRECT("'"&amp;$F$3&amp;"'!K27"),"YES")+COUNTIF(INDIRECT("'"&amp;$G$3&amp;"'!K27"),"YES")+COUNTIF(INDIRECT("'"&amp;$H$3&amp;"'!K27"),"YES")+COUNTIF(INDIRECT("'"&amp;$I$3&amp;"'!K27"),"YES"))/8,0)</f>
        <v>0</v>
      </c>
      <c r="L29" s="16" t="n">
        <f aca="true">IFERROR((COUNTIF(INDIRECT("'"&amp;$B$3&amp;"'!L27"),"YES")+COUNTIF(INDIRECT("'"&amp;$C$3&amp;"'!L27"),"YES")+COUNTIF(INDIRECT("'"&amp;$D$3&amp;"'!L27"),"YES")+COUNTIF(INDIRECT("'"&amp;$E$3&amp;"'!L27"),"YES")+COUNTIF(INDIRECT("'"&amp;$F$3&amp;"'!L27"),"YES")+COUNTIF(INDIRECT("'"&amp;$G$3&amp;"'!L27"),"YES")+COUNTIF(INDIRECT("'"&amp;$H$3&amp;"'!L27"),"YES")+COUNTIF(INDIRECT("'"&amp;$I$3&amp;"'!L27"),"YES"))/8,0)</f>
        <v>0</v>
      </c>
      <c r="M29" s="17" t="n">
        <f aca="false">IFERROR((J29*3)+(G29*1)+(H29*2)+(I29*2)-(L29*2),0)</f>
        <v>0</v>
      </c>
      <c r="N29" s="7"/>
    </row>
    <row r="30" customFormat="false" ht="15" hidden="false" customHeight="false" outlineLevel="0" collapsed="false">
      <c r="A30" s="5" t="n">
        <v>25</v>
      </c>
      <c r="B30" s="5" t="s">
        <v>76</v>
      </c>
      <c r="C30" s="5" t="s">
        <v>38</v>
      </c>
      <c r="D30" s="5" t="s">
        <v>78</v>
      </c>
      <c r="E30" s="14" t="n">
        <f aca="true">IFERROR((COUNTIF(INDIRECT("'"&amp;$B$3&amp;"'!E28"),"YES")+COUNTIF(INDIRECT("'"&amp;$C$3&amp;"'!E28"),"YES")+COUNTIF(INDIRECT("'"&amp;$D$3&amp;"'!E28"),"YES")+COUNTIF(INDIRECT("'"&amp;$E$3&amp;"'!E28"),"YES")+COUNTIF(INDIRECT("'"&amp;$F$3&amp;"'!E28"),"YES")+COUNTIF(INDIRECT("'"&amp;$G$3&amp;"'!E28"),"YES")+COUNTIF(INDIRECT("'"&amp;$H$3&amp;"'!E28"),"YES")+COUNTIF(INDIRECT("'"&amp;$I$3&amp;"'!E28"),"YES"))/8,0)</f>
        <v>0</v>
      </c>
      <c r="F30" s="15" t="n">
        <f aca="true">IFERROR((IFERROR(VALUE(SUBSTITUTE(INDIRECT("'"&amp;$B$3&amp;"'!F28"),"5+","5")),0)+IFERROR(VALUE(SUBSTITUTE(INDIRECT("'"&amp;$C$3&amp;"'!F28"),"5+","5")),0)+IFERROR(VALUE(SUBSTITUTE(INDIRECT("'"&amp;$D$3&amp;"'!F28"),"5+","5")),0)+IFERROR(VALUE(SUBSTITUTE(INDIRECT("'"&amp;$E$3&amp;"'!F28"),"5+","5")),0)+IFERROR(VALUE(SUBSTITUTE(INDIRECT("'"&amp;$F$3&amp;"'!F28"),"5+","5")),0)+IFERROR(VALUE(SUBSTITUTE(INDIRECT("'"&amp;$G$3&amp;"'!F28"),"5+","5")),0)+IFERROR(VALUE(SUBSTITUTE(INDIRECT("'"&amp;$H$3&amp;"'!F28"),"5+","5")),0)+IFERROR(VALUE(SUBSTITUTE(INDIRECT("'"&amp;$I$3&amp;"'!F28"),"5+","5")),0))/8,0)</f>
        <v>0</v>
      </c>
      <c r="G30" s="14" t="n">
        <f aca="true">IFERROR((COUNTIF(INDIRECT("'"&amp;$B$3&amp;"'!G28"),"YES")+COUNTIF(INDIRECT("'"&amp;$C$3&amp;"'!G28"),"YES")+COUNTIF(INDIRECT("'"&amp;$D$3&amp;"'!G28"),"YES")+COUNTIF(INDIRECT("'"&amp;$E$3&amp;"'!G28"),"YES")+COUNTIF(INDIRECT("'"&amp;$F$3&amp;"'!G28"),"YES")+COUNTIF(INDIRECT("'"&amp;$G$3&amp;"'!G28"),"YES")+COUNTIF(INDIRECT("'"&amp;$H$3&amp;"'!G28"),"YES")+COUNTIF(INDIRECT("'"&amp;$I$3&amp;"'!G28"),"YES"))/8,0)</f>
        <v>0</v>
      </c>
      <c r="H30" s="14" t="n">
        <f aca="true">IFERROR((COUNTIF(INDIRECT("'"&amp;$B$3&amp;"'!H28"),"YES")+COUNTIF(INDIRECT("'"&amp;$C$3&amp;"'!H28"),"YES")+COUNTIF(INDIRECT("'"&amp;$D$3&amp;"'!H28"),"YES")+COUNTIF(INDIRECT("'"&amp;$E$3&amp;"'!H28"),"YES")+COUNTIF(INDIRECT("'"&amp;$F$3&amp;"'!H28"),"YES")+COUNTIF(INDIRECT("'"&amp;$G$3&amp;"'!H28"),"YES")+COUNTIF(INDIRECT("'"&amp;$H$3&amp;"'!H28"),"YES")+COUNTIF(INDIRECT("'"&amp;$I$3&amp;"'!H28"),"YES"))/8,0)</f>
        <v>0</v>
      </c>
      <c r="I30" s="14" t="n">
        <f aca="true">IFERROR((COUNTIF(INDIRECT("'"&amp;$B$3&amp;"'!I28"),"YES")+COUNTIF(INDIRECT("'"&amp;$C$3&amp;"'!I28"),"YES")+COUNTIF(INDIRECT("'"&amp;$D$3&amp;"'!I28"),"YES")+COUNTIF(INDIRECT("'"&amp;$E$3&amp;"'!I28"),"YES")+COUNTIF(INDIRECT("'"&amp;$F$3&amp;"'!I28"),"YES")+COUNTIF(INDIRECT("'"&amp;$G$3&amp;"'!I28"),"YES")+COUNTIF(INDIRECT("'"&amp;$H$3&amp;"'!I28"),"YES")+COUNTIF(INDIRECT("'"&amp;$I$3&amp;"'!I28"),"YES"))/8,0)</f>
        <v>0</v>
      </c>
      <c r="J30" s="14" t="n">
        <f aca="true">IFERROR((COUNTIF(INDIRECT("'"&amp;$B$3&amp;"'!J28"),"YES")+COUNTIF(INDIRECT("'"&amp;$C$3&amp;"'!J28"),"YES")+COUNTIF(INDIRECT("'"&amp;$D$3&amp;"'!J28"),"YES")+COUNTIF(INDIRECT("'"&amp;$E$3&amp;"'!J28"),"YES")+COUNTIF(INDIRECT("'"&amp;$F$3&amp;"'!J28"),"YES")+COUNTIF(INDIRECT("'"&amp;$G$3&amp;"'!J28"),"YES")+COUNTIF(INDIRECT("'"&amp;$H$3&amp;"'!J28"),"YES")+COUNTIF(INDIRECT("'"&amp;$I$3&amp;"'!J28"),"YES"))/8,0)</f>
        <v>0</v>
      </c>
      <c r="K30" s="14" t="n">
        <f aca="true">IFERROR((COUNTIF(INDIRECT("'"&amp;$B$3&amp;"'!K28"),"YES")+COUNTIF(INDIRECT("'"&amp;$C$3&amp;"'!K28"),"YES")+COUNTIF(INDIRECT("'"&amp;$D$3&amp;"'!K28"),"YES")+COUNTIF(INDIRECT("'"&amp;$E$3&amp;"'!K28"),"YES")+COUNTIF(INDIRECT("'"&amp;$F$3&amp;"'!K28"),"YES")+COUNTIF(INDIRECT("'"&amp;$G$3&amp;"'!K28"),"YES")+COUNTIF(INDIRECT("'"&amp;$H$3&amp;"'!K28"),"YES")+COUNTIF(INDIRECT("'"&amp;$I$3&amp;"'!K28"),"YES"))/8,0)</f>
        <v>0</v>
      </c>
      <c r="L30" s="14" t="n">
        <f aca="true">IFERROR((COUNTIF(INDIRECT("'"&amp;$B$3&amp;"'!L28"),"YES")+COUNTIF(INDIRECT("'"&amp;$C$3&amp;"'!L28"),"YES")+COUNTIF(INDIRECT("'"&amp;$D$3&amp;"'!L28"),"YES")+COUNTIF(INDIRECT("'"&amp;$E$3&amp;"'!L28"),"YES")+COUNTIF(INDIRECT("'"&amp;$F$3&amp;"'!L28"),"YES")+COUNTIF(INDIRECT("'"&amp;$G$3&amp;"'!L28"),"YES")+COUNTIF(INDIRECT("'"&amp;$H$3&amp;"'!L28"),"YES")+COUNTIF(INDIRECT("'"&amp;$I$3&amp;"'!L28"),"YES"))/8,0)</f>
        <v>0</v>
      </c>
      <c r="M30" s="15" t="n">
        <f aca="false">IFERROR((J30*3)+(G30*1)+(H30*2)+(I30*2)-(L30*2),0)</f>
        <v>0</v>
      </c>
      <c r="N30" s="5"/>
    </row>
    <row r="31" customFormat="false" ht="15" hidden="false" customHeight="false" outlineLevel="0" collapsed="false">
      <c r="A31" s="7" t="n">
        <v>26</v>
      </c>
      <c r="B31" s="7" t="s">
        <v>76</v>
      </c>
      <c r="C31" s="7" t="s">
        <v>31</v>
      </c>
      <c r="D31" s="7" t="s">
        <v>79</v>
      </c>
      <c r="E31" s="16" t="n">
        <f aca="true">IFERROR((COUNTIF(INDIRECT("'"&amp;$B$3&amp;"'!E29"),"YES")+COUNTIF(INDIRECT("'"&amp;$C$3&amp;"'!E29"),"YES")+COUNTIF(INDIRECT("'"&amp;$D$3&amp;"'!E29"),"YES")+COUNTIF(INDIRECT("'"&amp;$E$3&amp;"'!E29"),"YES")+COUNTIF(INDIRECT("'"&amp;$F$3&amp;"'!E29"),"YES")+COUNTIF(INDIRECT("'"&amp;$G$3&amp;"'!E29"),"YES")+COUNTIF(INDIRECT("'"&amp;$H$3&amp;"'!E29"),"YES")+COUNTIF(INDIRECT("'"&amp;$I$3&amp;"'!E29"),"YES"))/8,0)</f>
        <v>0</v>
      </c>
      <c r="F31" s="17" t="n">
        <f aca="true">IFERROR((IFERROR(VALUE(SUBSTITUTE(INDIRECT("'"&amp;$B$3&amp;"'!F29"),"5+","5")),0)+IFERROR(VALUE(SUBSTITUTE(INDIRECT("'"&amp;$C$3&amp;"'!F29"),"5+","5")),0)+IFERROR(VALUE(SUBSTITUTE(INDIRECT("'"&amp;$D$3&amp;"'!F29"),"5+","5")),0)+IFERROR(VALUE(SUBSTITUTE(INDIRECT("'"&amp;$E$3&amp;"'!F29"),"5+","5")),0)+IFERROR(VALUE(SUBSTITUTE(INDIRECT("'"&amp;$F$3&amp;"'!F29"),"5+","5")),0)+IFERROR(VALUE(SUBSTITUTE(INDIRECT("'"&amp;$G$3&amp;"'!F29"),"5+","5")),0)+IFERROR(VALUE(SUBSTITUTE(INDIRECT("'"&amp;$H$3&amp;"'!F29"),"5+","5")),0)+IFERROR(VALUE(SUBSTITUTE(INDIRECT("'"&amp;$I$3&amp;"'!F29"),"5+","5")),0))/8,0)</f>
        <v>0</v>
      </c>
      <c r="G31" s="16" t="n">
        <f aca="true">IFERROR((COUNTIF(INDIRECT("'"&amp;$B$3&amp;"'!G29"),"YES")+COUNTIF(INDIRECT("'"&amp;$C$3&amp;"'!G29"),"YES")+COUNTIF(INDIRECT("'"&amp;$D$3&amp;"'!G29"),"YES")+COUNTIF(INDIRECT("'"&amp;$E$3&amp;"'!G29"),"YES")+COUNTIF(INDIRECT("'"&amp;$F$3&amp;"'!G29"),"YES")+COUNTIF(INDIRECT("'"&amp;$G$3&amp;"'!G29"),"YES")+COUNTIF(INDIRECT("'"&amp;$H$3&amp;"'!G29"),"YES")+COUNTIF(INDIRECT("'"&amp;$I$3&amp;"'!G29"),"YES"))/8,0)</f>
        <v>0</v>
      </c>
      <c r="H31" s="16" t="n">
        <f aca="true">IFERROR((COUNTIF(INDIRECT("'"&amp;$B$3&amp;"'!H29"),"YES")+COUNTIF(INDIRECT("'"&amp;$C$3&amp;"'!H29"),"YES")+COUNTIF(INDIRECT("'"&amp;$D$3&amp;"'!H29"),"YES")+COUNTIF(INDIRECT("'"&amp;$E$3&amp;"'!H29"),"YES")+COUNTIF(INDIRECT("'"&amp;$F$3&amp;"'!H29"),"YES")+COUNTIF(INDIRECT("'"&amp;$G$3&amp;"'!H29"),"YES")+COUNTIF(INDIRECT("'"&amp;$H$3&amp;"'!H29"),"YES")+COUNTIF(INDIRECT("'"&amp;$I$3&amp;"'!H29"),"YES"))/8,0)</f>
        <v>0</v>
      </c>
      <c r="I31" s="16" t="n">
        <f aca="true">IFERROR((COUNTIF(INDIRECT("'"&amp;$B$3&amp;"'!I29"),"YES")+COUNTIF(INDIRECT("'"&amp;$C$3&amp;"'!I29"),"YES")+COUNTIF(INDIRECT("'"&amp;$D$3&amp;"'!I29"),"YES")+COUNTIF(INDIRECT("'"&amp;$E$3&amp;"'!I29"),"YES")+COUNTIF(INDIRECT("'"&amp;$F$3&amp;"'!I29"),"YES")+COUNTIF(INDIRECT("'"&amp;$G$3&amp;"'!I29"),"YES")+COUNTIF(INDIRECT("'"&amp;$H$3&amp;"'!I29"),"YES")+COUNTIF(INDIRECT("'"&amp;$I$3&amp;"'!I29"),"YES"))/8,0)</f>
        <v>0</v>
      </c>
      <c r="J31" s="16" t="n">
        <f aca="true">IFERROR((COUNTIF(INDIRECT("'"&amp;$B$3&amp;"'!J29"),"YES")+COUNTIF(INDIRECT("'"&amp;$C$3&amp;"'!J29"),"YES")+COUNTIF(INDIRECT("'"&amp;$D$3&amp;"'!J29"),"YES")+COUNTIF(INDIRECT("'"&amp;$E$3&amp;"'!J29"),"YES")+COUNTIF(INDIRECT("'"&amp;$F$3&amp;"'!J29"),"YES")+COUNTIF(INDIRECT("'"&amp;$G$3&amp;"'!J29"),"YES")+COUNTIF(INDIRECT("'"&amp;$H$3&amp;"'!J29"),"YES")+COUNTIF(INDIRECT("'"&amp;$I$3&amp;"'!J29"),"YES"))/8,0)</f>
        <v>0</v>
      </c>
      <c r="K31" s="16" t="n">
        <f aca="true">IFERROR((COUNTIF(INDIRECT("'"&amp;$B$3&amp;"'!K29"),"YES")+COUNTIF(INDIRECT("'"&amp;$C$3&amp;"'!K29"),"YES")+COUNTIF(INDIRECT("'"&amp;$D$3&amp;"'!K29"),"YES")+COUNTIF(INDIRECT("'"&amp;$E$3&amp;"'!K29"),"YES")+COUNTIF(INDIRECT("'"&amp;$F$3&amp;"'!K29"),"YES")+COUNTIF(INDIRECT("'"&amp;$G$3&amp;"'!K29"),"YES")+COUNTIF(INDIRECT("'"&amp;$H$3&amp;"'!K29"),"YES")+COUNTIF(INDIRECT("'"&amp;$I$3&amp;"'!K29"),"YES"))/8,0)</f>
        <v>0</v>
      </c>
      <c r="L31" s="16" t="n">
        <f aca="true">IFERROR((COUNTIF(INDIRECT("'"&amp;$B$3&amp;"'!L29"),"YES")+COUNTIF(INDIRECT("'"&amp;$C$3&amp;"'!L29"),"YES")+COUNTIF(INDIRECT("'"&amp;$D$3&amp;"'!L29"),"YES")+COUNTIF(INDIRECT("'"&amp;$E$3&amp;"'!L29"),"YES")+COUNTIF(INDIRECT("'"&amp;$F$3&amp;"'!L29"),"YES")+COUNTIF(INDIRECT("'"&amp;$G$3&amp;"'!L29"),"YES")+COUNTIF(INDIRECT("'"&amp;$H$3&amp;"'!L29"),"YES")+COUNTIF(INDIRECT("'"&amp;$I$3&amp;"'!L29"),"YES"))/8,0)</f>
        <v>0</v>
      </c>
      <c r="M31" s="17" t="n">
        <f aca="false">IFERROR((J31*3)+(G31*1)+(H31*2)+(I31*2)-(L31*2),0)</f>
        <v>0</v>
      </c>
      <c r="N31" s="7"/>
    </row>
    <row r="32" customFormat="false" ht="15" hidden="false" customHeight="false" outlineLevel="0" collapsed="false">
      <c r="A32" s="5" t="n">
        <v>27</v>
      </c>
      <c r="B32" s="5" t="s">
        <v>76</v>
      </c>
      <c r="C32" s="5" t="s">
        <v>37</v>
      </c>
      <c r="D32" s="5" t="s">
        <v>81</v>
      </c>
      <c r="E32" s="14" t="n">
        <f aca="true">IFERROR((COUNTIF(INDIRECT("'"&amp;$B$3&amp;"'!E30"),"YES")+COUNTIF(INDIRECT("'"&amp;$C$3&amp;"'!E30"),"YES")+COUNTIF(INDIRECT("'"&amp;$D$3&amp;"'!E30"),"YES")+COUNTIF(INDIRECT("'"&amp;$E$3&amp;"'!E30"),"YES")+COUNTIF(INDIRECT("'"&amp;$F$3&amp;"'!E30"),"YES")+COUNTIF(INDIRECT("'"&amp;$G$3&amp;"'!E30"),"YES")+COUNTIF(INDIRECT("'"&amp;$H$3&amp;"'!E30"),"YES")+COUNTIF(INDIRECT("'"&amp;$I$3&amp;"'!E30"),"YES"))/8,0)</f>
        <v>0</v>
      </c>
      <c r="F32" s="15" t="n">
        <f aca="true">IFERROR((IFERROR(VALUE(SUBSTITUTE(INDIRECT("'"&amp;$B$3&amp;"'!F30"),"5+","5")),0)+IFERROR(VALUE(SUBSTITUTE(INDIRECT("'"&amp;$C$3&amp;"'!F30"),"5+","5")),0)+IFERROR(VALUE(SUBSTITUTE(INDIRECT("'"&amp;$D$3&amp;"'!F30"),"5+","5")),0)+IFERROR(VALUE(SUBSTITUTE(INDIRECT("'"&amp;$E$3&amp;"'!F30"),"5+","5")),0)+IFERROR(VALUE(SUBSTITUTE(INDIRECT("'"&amp;$F$3&amp;"'!F30"),"5+","5")),0)+IFERROR(VALUE(SUBSTITUTE(INDIRECT("'"&amp;$G$3&amp;"'!F30"),"5+","5")),0)+IFERROR(VALUE(SUBSTITUTE(INDIRECT("'"&amp;$H$3&amp;"'!F30"),"5+","5")),0)+IFERROR(VALUE(SUBSTITUTE(INDIRECT("'"&amp;$I$3&amp;"'!F30"),"5+","5")),0))/8,0)</f>
        <v>0</v>
      </c>
      <c r="G32" s="14" t="n">
        <f aca="true">IFERROR((COUNTIF(INDIRECT("'"&amp;$B$3&amp;"'!G30"),"YES")+COUNTIF(INDIRECT("'"&amp;$C$3&amp;"'!G30"),"YES")+COUNTIF(INDIRECT("'"&amp;$D$3&amp;"'!G30"),"YES")+COUNTIF(INDIRECT("'"&amp;$E$3&amp;"'!G30"),"YES")+COUNTIF(INDIRECT("'"&amp;$F$3&amp;"'!G30"),"YES")+COUNTIF(INDIRECT("'"&amp;$G$3&amp;"'!G30"),"YES")+COUNTIF(INDIRECT("'"&amp;$H$3&amp;"'!G30"),"YES")+COUNTIF(INDIRECT("'"&amp;$I$3&amp;"'!G30"),"YES"))/8,0)</f>
        <v>0</v>
      </c>
      <c r="H32" s="14" t="n">
        <f aca="true">IFERROR((COUNTIF(INDIRECT("'"&amp;$B$3&amp;"'!H30"),"YES")+COUNTIF(INDIRECT("'"&amp;$C$3&amp;"'!H30"),"YES")+COUNTIF(INDIRECT("'"&amp;$D$3&amp;"'!H30"),"YES")+COUNTIF(INDIRECT("'"&amp;$E$3&amp;"'!H30"),"YES")+COUNTIF(INDIRECT("'"&amp;$F$3&amp;"'!H30"),"YES")+COUNTIF(INDIRECT("'"&amp;$G$3&amp;"'!H30"),"YES")+COUNTIF(INDIRECT("'"&amp;$H$3&amp;"'!H30"),"YES")+COUNTIF(INDIRECT("'"&amp;$I$3&amp;"'!H30"),"YES"))/8,0)</f>
        <v>0</v>
      </c>
      <c r="I32" s="14" t="n">
        <f aca="true">IFERROR((COUNTIF(INDIRECT("'"&amp;$B$3&amp;"'!I30"),"YES")+COUNTIF(INDIRECT("'"&amp;$C$3&amp;"'!I30"),"YES")+COUNTIF(INDIRECT("'"&amp;$D$3&amp;"'!I30"),"YES")+COUNTIF(INDIRECT("'"&amp;$E$3&amp;"'!I30"),"YES")+COUNTIF(INDIRECT("'"&amp;$F$3&amp;"'!I30"),"YES")+COUNTIF(INDIRECT("'"&amp;$G$3&amp;"'!I30"),"YES")+COUNTIF(INDIRECT("'"&amp;$H$3&amp;"'!I30"),"YES")+COUNTIF(INDIRECT("'"&amp;$I$3&amp;"'!I30"),"YES"))/8,0)</f>
        <v>0</v>
      </c>
      <c r="J32" s="14" t="n">
        <f aca="true">IFERROR((COUNTIF(INDIRECT("'"&amp;$B$3&amp;"'!J30"),"YES")+COUNTIF(INDIRECT("'"&amp;$C$3&amp;"'!J30"),"YES")+COUNTIF(INDIRECT("'"&amp;$D$3&amp;"'!J30"),"YES")+COUNTIF(INDIRECT("'"&amp;$E$3&amp;"'!J30"),"YES")+COUNTIF(INDIRECT("'"&amp;$F$3&amp;"'!J30"),"YES")+COUNTIF(INDIRECT("'"&amp;$G$3&amp;"'!J30"),"YES")+COUNTIF(INDIRECT("'"&amp;$H$3&amp;"'!J30"),"YES")+COUNTIF(INDIRECT("'"&amp;$I$3&amp;"'!J30"),"YES"))/8,0)</f>
        <v>0</v>
      </c>
      <c r="K32" s="14" t="n">
        <f aca="true">IFERROR((COUNTIF(INDIRECT("'"&amp;$B$3&amp;"'!K30"),"YES")+COUNTIF(INDIRECT("'"&amp;$C$3&amp;"'!K30"),"YES")+COUNTIF(INDIRECT("'"&amp;$D$3&amp;"'!K30"),"YES")+COUNTIF(INDIRECT("'"&amp;$E$3&amp;"'!K30"),"YES")+COUNTIF(INDIRECT("'"&amp;$F$3&amp;"'!K30"),"YES")+COUNTIF(INDIRECT("'"&amp;$G$3&amp;"'!K30"),"YES")+COUNTIF(INDIRECT("'"&amp;$H$3&amp;"'!K30"),"YES")+COUNTIF(INDIRECT("'"&amp;$I$3&amp;"'!K30"),"YES"))/8,0)</f>
        <v>0</v>
      </c>
      <c r="L32" s="14" t="n">
        <f aca="true">IFERROR((COUNTIF(INDIRECT("'"&amp;$B$3&amp;"'!L30"),"YES")+COUNTIF(INDIRECT("'"&amp;$C$3&amp;"'!L30"),"YES")+COUNTIF(INDIRECT("'"&amp;$D$3&amp;"'!L30"),"YES")+COUNTIF(INDIRECT("'"&amp;$E$3&amp;"'!L30"),"YES")+COUNTIF(INDIRECT("'"&amp;$F$3&amp;"'!L30"),"YES")+COUNTIF(INDIRECT("'"&amp;$G$3&amp;"'!L30"),"YES")+COUNTIF(INDIRECT("'"&amp;$H$3&amp;"'!L30"),"YES")+COUNTIF(INDIRECT("'"&amp;$I$3&amp;"'!L30"),"YES"))/8,0)</f>
        <v>0</v>
      </c>
      <c r="M32" s="15" t="n">
        <f aca="false">IFERROR((J32*3)+(G32*1)+(H32*2)+(I32*2)-(L32*2),0)</f>
        <v>0</v>
      </c>
      <c r="N32" s="5"/>
    </row>
    <row r="33" customFormat="false" ht="15" hidden="false" customHeight="false" outlineLevel="0" collapsed="false">
      <c r="A33" s="7" t="n">
        <v>28</v>
      </c>
      <c r="B33" s="7" t="s">
        <v>76</v>
      </c>
      <c r="C33" s="7" t="s">
        <v>46</v>
      </c>
      <c r="D33" s="7" t="s">
        <v>82</v>
      </c>
      <c r="E33" s="16" t="n">
        <f aca="true">IFERROR((COUNTIF(INDIRECT("'"&amp;$B$3&amp;"'!E31"),"YES")+COUNTIF(INDIRECT("'"&amp;$C$3&amp;"'!E31"),"YES")+COUNTIF(INDIRECT("'"&amp;$D$3&amp;"'!E31"),"YES")+COUNTIF(INDIRECT("'"&amp;$E$3&amp;"'!E31"),"YES")+COUNTIF(INDIRECT("'"&amp;$F$3&amp;"'!E31"),"YES")+COUNTIF(INDIRECT("'"&amp;$G$3&amp;"'!E31"),"YES")+COUNTIF(INDIRECT("'"&amp;$H$3&amp;"'!E31"),"YES")+COUNTIF(INDIRECT("'"&amp;$I$3&amp;"'!E31"),"YES"))/8,0)</f>
        <v>0</v>
      </c>
      <c r="F33" s="17" t="n">
        <f aca="true">IFERROR((IFERROR(VALUE(SUBSTITUTE(INDIRECT("'"&amp;$B$3&amp;"'!F31"),"5+","5")),0)+IFERROR(VALUE(SUBSTITUTE(INDIRECT("'"&amp;$C$3&amp;"'!F31"),"5+","5")),0)+IFERROR(VALUE(SUBSTITUTE(INDIRECT("'"&amp;$D$3&amp;"'!F31"),"5+","5")),0)+IFERROR(VALUE(SUBSTITUTE(INDIRECT("'"&amp;$E$3&amp;"'!F31"),"5+","5")),0)+IFERROR(VALUE(SUBSTITUTE(INDIRECT("'"&amp;$F$3&amp;"'!F31"),"5+","5")),0)+IFERROR(VALUE(SUBSTITUTE(INDIRECT("'"&amp;$G$3&amp;"'!F31"),"5+","5")),0)+IFERROR(VALUE(SUBSTITUTE(INDIRECT("'"&amp;$H$3&amp;"'!F31"),"5+","5")),0)+IFERROR(VALUE(SUBSTITUTE(INDIRECT("'"&amp;$I$3&amp;"'!F31"),"5+","5")),0))/8,0)</f>
        <v>0</v>
      </c>
      <c r="G33" s="16" t="n">
        <f aca="true">IFERROR((COUNTIF(INDIRECT("'"&amp;$B$3&amp;"'!G31"),"YES")+COUNTIF(INDIRECT("'"&amp;$C$3&amp;"'!G31"),"YES")+COUNTIF(INDIRECT("'"&amp;$D$3&amp;"'!G31"),"YES")+COUNTIF(INDIRECT("'"&amp;$E$3&amp;"'!G31"),"YES")+COUNTIF(INDIRECT("'"&amp;$F$3&amp;"'!G31"),"YES")+COUNTIF(INDIRECT("'"&amp;$G$3&amp;"'!G31"),"YES")+COUNTIF(INDIRECT("'"&amp;$H$3&amp;"'!G31"),"YES")+COUNTIF(INDIRECT("'"&amp;$I$3&amp;"'!G31"),"YES"))/8,0)</f>
        <v>0</v>
      </c>
      <c r="H33" s="16" t="n">
        <f aca="true">IFERROR((COUNTIF(INDIRECT("'"&amp;$B$3&amp;"'!H31"),"YES")+COUNTIF(INDIRECT("'"&amp;$C$3&amp;"'!H31"),"YES")+COUNTIF(INDIRECT("'"&amp;$D$3&amp;"'!H31"),"YES")+COUNTIF(INDIRECT("'"&amp;$E$3&amp;"'!H31"),"YES")+COUNTIF(INDIRECT("'"&amp;$F$3&amp;"'!H31"),"YES")+COUNTIF(INDIRECT("'"&amp;$G$3&amp;"'!H31"),"YES")+COUNTIF(INDIRECT("'"&amp;$H$3&amp;"'!H31"),"YES")+COUNTIF(INDIRECT("'"&amp;$I$3&amp;"'!H31"),"YES"))/8,0)</f>
        <v>0</v>
      </c>
      <c r="I33" s="16" t="n">
        <f aca="true">IFERROR((COUNTIF(INDIRECT("'"&amp;$B$3&amp;"'!I31"),"YES")+COUNTIF(INDIRECT("'"&amp;$C$3&amp;"'!I31"),"YES")+COUNTIF(INDIRECT("'"&amp;$D$3&amp;"'!I31"),"YES")+COUNTIF(INDIRECT("'"&amp;$E$3&amp;"'!I31"),"YES")+COUNTIF(INDIRECT("'"&amp;$F$3&amp;"'!I31"),"YES")+COUNTIF(INDIRECT("'"&amp;$G$3&amp;"'!I31"),"YES")+COUNTIF(INDIRECT("'"&amp;$H$3&amp;"'!I31"),"YES")+COUNTIF(INDIRECT("'"&amp;$I$3&amp;"'!I31"),"YES"))/8,0)</f>
        <v>0</v>
      </c>
      <c r="J33" s="16" t="n">
        <f aca="true">IFERROR((COUNTIF(INDIRECT("'"&amp;$B$3&amp;"'!J31"),"YES")+COUNTIF(INDIRECT("'"&amp;$C$3&amp;"'!J31"),"YES")+COUNTIF(INDIRECT("'"&amp;$D$3&amp;"'!J31"),"YES")+COUNTIF(INDIRECT("'"&amp;$E$3&amp;"'!J31"),"YES")+COUNTIF(INDIRECT("'"&amp;$F$3&amp;"'!J31"),"YES")+COUNTIF(INDIRECT("'"&amp;$G$3&amp;"'!J31"),"YES")+COUNTIF(INDIRECT("'"&amp;$H$3&amp;"'!J31"),"YES")+COUNTIF(INDIRECT("'"&amp;$I$3&amp;"'!J31"),"YES"))/8,0)</f>
        <v>0</v>
      </c>
      <c r="K33" s="16" t="n">
        <f aca="true">IFERROR((COUNTIF(INDIRECT("'"&amp;$B$3&amp;"'!K31"),"YES")+COUNTIF(INDIRECT("'"&amp;$C$3&amp;"'!K31"),"YES")+COUNTIF(INDIRECT("'"&amp;$D$3&amp;"'!K31"),"YES")+COUNTIF(INDIRECT("'"&amp;$E$3&amp;"'!K31"),"YES")+COUNTIF(INDIRECT("'"&amp;$F$3&amp;"'!K31"),"YES")+COUNTIF(INDIRECT("'"&amp;$G$3&amp;"'!K31"),"YES")+COUNTIF(INDIRECT("'"&amp;$H$3&amp;"'!K31"),"YES")+COUNTIF(INDIRECT("'"&amp;$I$3&amp;"'!K31"),"YES"))/8,0)</f>
        <v>0</v>
      </c>
      <c r="L33" s="16" t="n">
        <f aca="true">IFERROR((COUNTIF(INDIRECT("'"&amp;$B$3&amp;"'!L31"),"YES")+COUNTIF(INDIRECT("'"&amp;$C$3&amp;"'!L31"),"YES")+COUNTIF(INDIRECT("'"&amp;$D$3&amp;"'!L31"),"YES")+COUNTIF(INDIRECT("'"&amp;$E$3&amp;"'!L31"),"YES")+COUNTIF(INDIRECT("'"&amp;$F$3&amp;"'!L31"),"YES")+COUNTIF(INDIRECT("'"&amp;$G$3&amp;"'!L31"),"YES")+COUNTIF(INDIRECT("'"&amp;$H$3&amp;"'!L31"),"YES")+COUNTIF(INDIRECT("'"&amp;$I$3&amp;"'!L31"),"YES"))/8,0)</f>
        <v>0</v>
      </c>
      <c r="M33" s="17" t="n">
        <f aca="false">IFERROR((J33*3)+(G33*1)+(H33*2)+(I33*2)-(L33*2),0)</f>
        <v>0</v>
      </c>
      <c r="N33" s="7"/>
    </row>
    <row r="34" customFormat="false" ht="15" hidden="false" customHeight="false" outlineLevel="0" collapsed="false">
      <c r="A34" s="5" t="n">
        <v>29</v>
      </c>
      <c r="B34" s="5" t="s">
        <v>76</v>
      </c>
      <c r="C34" s="5" t="s">
        <v>48</v>
      </c>
      <c r="D34" s="5" t="s">
        <v>83</v>
      </c>
      <c r="E34" s="14" t="n">
        <f aca="true">IFERROR((COUNTIF(INDIRECT("'"&amp;$B$3&amp;"'!E32"),"YES")+COUNTIF(INDIRECT("'"&amp;$C$3&amp;"'!E32"),"YES")+COUNTIF(INDIRECT("'"&amp;$D$3&amp;"'!E32"),"YES")+COUNTIF(INDIRECT("'"&amp;$E$3&amp;"'!E32"),"YES")+COUNTIF(INDIRECT("'"&amp;$F$3&amp;"'!E32"),"YES")+COUNTIF(INDIRECT("'"&amp;$G$3&amp;"'!E32"),"YES")+COUNTIF(INDIRECT("'"&amp;$H$3&amp;"'!E32"),"YES")+COUNTIF(INDIRECT("'"&amp;$I$3&amp;"'!E32"),"YES"))/8,0)</f>
        <v>0</v>
      </c>
      <c r="F34" s="15" t="n">
        <f aca="true">IFERROR((IFERROR(VALUE(SUBSTITUTE(INDIRECT("'"&amp;$B$3&amp;"'!F32"),"5+","5")),0)+IFERROR(VALUE(SUBSTITUTE(INDIRECT("'"&amp;$C$3&amp;"'!F32"),"5+","5")),0)+IFERROR(VALUE(SUBSTITUTE(INDIRECT("'"&amp;$D$3&amp;"'!F32"),"5+","5")),0)+IFERROR(VALUE(SUBSTITUTE(INDIRECT("'"&amp;$E$3&amp;"'!F32"),"5+","5")),0)+IFERROR(VALUE(SUBSTITUTE(INDIRECT("'"&amp;$F$3&amp;"'!F32"),"5+","5")),0)+IFERROR(VALUE(SUBSTITUTE(INDIRECT("'"&amp;$G$3&amp;"'!F32"),"5+","5")),0)+IFERROR(VALUE(SUBSTITUTE(INDIRECT("'"&amp;$H$3&amp;"'!F32"),"5+","5")),0)+IFERROR(VALUE(SUBSTITUTE(INDIRECT("'"&amp;$I$3&amp;"'!F32"),"5+","5")),0))/8,0)</f>
        <v>0</v>
      </c>
      <c r="G34" s="14" t="n">
        <f aca="true">IFERROR((COUNTIF(INDIRECT("'"&amp;$B$3&amp;"'!G32"),"YES")+COUNTIF(INDIRECT("'"&amp;$C$3&amp;"'!G32"),"YES")+COUNTIF(INDIRECT("'"&amp;$D$3&amp;"'!G32"),"YES")+COUNTIF(INDIRECT("'"&amp;$E$3&amp;"'!G32"),"YES")+COUNTIF(INDIRECT("'"&amp;$F$3&amp;"'!G32"),"YES")+COUNTIF(INDIRECT("'"&amp;$G$3&amp;"'!G32"),"YES")+COUNTIF(INDIRECT("'"&amp;$H$3&amp;"'!G32"),"YES")+COUNTIF(INDIRECT("'"&amp;$I$3&amp;"'!G32"),"YES"))/8,0)</f>
        <v>0</v>
      </c>
      <c r="H34" s="14" t="n">
        <f aca="true">IFERROR((COUNTIF(INDIRECT("'"&amp;$B$3&amp;"'!H32"),"YES")+COUNTIF(INDIRECT("'"&amp;$C$3&amp;"'!H32"),"YES")+COUNTIF(INDIRECT("'"&amp;$D$3&amp;"'!H32"),"YES")+COUNTIF(INDIRECT("'"&amp;$E$3&amp;"'!H32"),"YES")+COUNTIF(INDIRECT("'"&amp;$F$3&amp;"'!H32"),"YES")+COUNTIF(INDIRECT("'"&amp;$G$3&amp;"'!H32"),"YES")+COUNTIF(INDIRECT("'"&amp;$H$3&amp;"'!H32"),"YES")+COUNTIF(INDIRECT("'"&amp;$I$3&amp;"'!H32"),"YES"))/8,0)</f>
        <v>0</v>
      </c>
      <c r="I34" s="14" t="n">
        <f aca="true">IFERROR((COUNTIF(INDIRECT("'"&amp;$B$3&amp;"'!I32"),"YES")+COUNTIF(INDIRECT("'"&amp;$C$3&amp;"'!I32"),"YES")+COUNTIF(INDIRECT("'"&amp;$D$3&amp;"'!I32"),"YES")+COUNTIF(INDIRECT("'"&amp;$E$3&amp;"'!I32"),"YES")+COUNTIF(INDIRECT("'"&amp;$F$3&amp;"'!I32"),"YES")+COUNTIF(INDIRECT("'"&amp;$G$3&amp;"'!I32"),"YES")+COUNTIF(INDIRECT("'"&amp;$H$3&amp;"'!I32"),"YES")+COUNTIF(INDIRECT("'"&amp;$I$3&amp;"'!I32"),"YES"))/8,0)</f>
        <v>0</v>
      </c>
      <c r="J34" s="14" t="n">
        <f aca="true">IFERROR((COUNTIF(INDIRECT("'"&amp;$B$3&amp;"'!J32"),"YES")+COUNTIF(INDIRECT("'"&amp;$C$3&amp;"'!J32"),"YES")+COUNTIF(INDIRECT("'"&amp;$D$3&amp;"'!J32"),"YES")+COUNTIF(INDIRECT("'"&amp;$E$3&amp;"'!J32"),"YES")+COUNTIF(INDIRECT("'"&amp;$F$3&amp;"'!J32"),"YES")+COUNTIF(INDIRECT("'"&amp;$G$3&amp;"'!J32"),"YES")+COUNTIF(INDIRECT("'"&amp;$H$3&amp;"'!J32"),"YES")+COUNTIF(INDIRECT("'"&amp;$I$3&amp;"'!J32"),"YES"))/8,0)</f>
        <v>0</v>
      </c>
      <c r="K34" s="14" t="n">
        <f aca="true">IFERROR((COUNTIF(INDIRECT("'"&amp;$B$3&amp;"'!K32"),"YES")+COUNTIF(INDIRECT("'"&amp;$C$3&amp;"'!K32"),"YES")+COUNTIF(INDIRECT("'"&amp;$D$3&amp;"'!K32"),"YES")+COUNTIF(INDIRECT("'"&amp;$E$3&amp;"'!K32"),"YES")+COUNTIF(INDIRECT("'"&amp;$F$3&amp;"'!K32"),"YES")+COUNTIF(INDIRECT("'"&amp;$G$3&amp;"'!K32"),"YES")+COUNTIF(INDIRECT("'"&amp;$H$3&amp;"'!K32"),"YES")+COUNTIF(INDIRECT("'"&amp;$I$3&amp;"'!K32"),"YES"))/8,0)</f>
        <v>0</v>
      </c>
      <c r="L34" s="14" t="n">
        <f aca="true">IFERROR((COUNTIF(INDIRECT("'"&amp;$B$3&amp;"'!L32"),"YES")+COUNTIF(INDIRECT("'"&amp;$C$3&amp;"'!L32"),"YES")+COUNTIF(INDIRECT("'"&amp;$D$3&amp;"'!L32"),"YES")+COUNTIF(INDIRECT("'"&amp;$E$3&amp;"'!L32"),"YES")+COUNTIF(INDIRECT("'"&amp;$F$3&amp;"'!L32"),"YES")+COUNTIF(INDIRECT("'"&amp;$G$3&amp;"'!L32"),"YES")+COUNTIF(INDIRECT("'"&amp;$H$3&amp;"'!L32"),"YES")+COUNTIF(INDIRECT("'"&amp;$I$3&amp;"'!L32"),"YES"))/8,0)</f>
        <v>0</v>
      </c>
      <c r="M34" s="15" t="n">
        <f aca="false">IFERROR((J34*3)+(G34*1)+(H34*2)+(I34*2)-(L34*2),0)</f>
        <v>0</v>
      </c>
      <c r="N34" s="5"/>
    </row>
    <row r="35" customFormat="false" ht="15" hidden="false" customHeight="false" outlineLevel="0" collapsed="false">
      <c r="A35" s="7" t="n">
        <v>30</v>
      </c>
      <c r="B35" s="7" t="s">
        <v>76</v>
      </c>
      <c r="C35" s="7" t="s">
        <v>51</v>
      </c>
      <c r="D35" s="7" t="s">
        <v>84</v>
      </c>
      <c r="E35" s="16" t="n">
        <f aca="true">IFERROR((COUNTIF(INDIRECT("'"&amp;$B$3&amp;"'!E33"),"YES")+COUNTIF(INDIRECT("'"&amp;$C$3&amp;"'!E33"),"YES")+COUNTIF(INDIRECT("'"&amp;$D$3&amp;"'!E33"),"YES")+COUNTIF(INDIRECT("'"&amp;$E$3&amp;"'!E33"),"YES")+COUNTIF(INDIRECT("'"&amp;$F$3&amp;"'!E33"),"YES")+COUNTIF(INDIRECT("'"&amp;$G$3&amp;"'!E33"),"YES")+COUNTIF(INDIRECT("'"&amp;$H$3&amp;"'!E33"),"YES")+COUNTIF(INDIRECT("'"&amp;$I$3&amp;"'!E33"),"YES"))/8,0)</f>
        <v>0</v>
      </c>
      <c r="F35" s="17" t="n">
        <f aca="true">IFERROR((IFERROR(VALUE(SUBSTITUTE(INDIRECT("'"&amp;$B$3&amp;"'!F33"),"5+","5")),0)+IFERROR(VALUE(SUBSTITUTE(INDIRECT("'"&amp;$C$3&amp;"'!F33"),"5+","5")),0)+IFERROR(VALUE(SUBSTITUTE(INDIRECT("'"&amp;$D$3&amp;"'!F33"),"5+","5")),0)+IFERROR(VALUE(SUBSTITUTE(INDIRECT("'"&amp;$E$3&amp;"'!F33"),"5+","5")),0)+IFERROR(VALUE(SUBSTITUTE(INDIRECT("'"&amp;$F$3&amp;"'!F33"),"5+","5")),0)+IFERROR(VALUE(SUBSTITUTE(INDIRECT("'"&amp;$G$3&amp;"'!F33"),"5+","5")),0)+IFERROR(VALUE(SUBSTITUTE(INDIRECT("'"&amp;$H$3&amp;"'!F33"),"5+","5")),0)+IFERROR(VALUE(SUBSTITUTE(INDIRECT("'"&amp;$I$3&amp;"'!F33"),"5+","5")),0))/8,0)</f>
        <v>0</v>
      </c>
      <c r="G35" s="16" t="n">
        <f aca="true">IFERROR((COUNTIF(INDIRECT("'"&amp;$B$3&amp;"'!G33"),"YES")+COUNTIF(INDIRECT("'"&amp;$C$3&amp;"'!G33"),"YES")+COUNTIF(INDIRECT("'"&amp;$D$3&amp;"'!G33"),"YES")+COUNTIF(INDIRECT("'"&amp;$E$3&amp;"'!G33"),"YES")+COUNTIF(INDIRECT("'"&amp;$F$3&amp;"'!G33"),"YES")+COUNTIF(INDIRECT("'"&amp;$G$3&amp;"'!G33"),"YES")+COUNTIF(INDIRECT("'"&amp;$H$3&amp;"'!G33"),"YES")+COUNTIF(INDIRECT("'"&amp;$I$3&amp;"'!G33"),"YES"))/8,0)</f>
        <v>0</v>
      </c>
      <c r="H35" s="16" t="n">
        <f aca="true">IFERROR((COUNTIF(INDIRECT("'"&amp;$B$3&amp;"'!H33"),"YES")+COUNTIF(INDIRECT("'"&amp;$C$3&amp;"'!H33"),"YES")+COUNTIF(INDIRECT("'"&amp;$D$3&amp;"'!H33"),"YES")+COUNTIF(INDIRECT("'"&amp;$E$3&amp;"'!H33"),"YES")+COUNTIF(INDIRECT("'"&amp;$F$3&amp;"'!H33"),"YES")+COUNTIF(INDIRECT("'"&amp;$G$3&amp;"'!H33"),"YES")+COUNTIF(INDIRECT("'"&amp;$H$3&amp;"'!H33"),"YES")+COUNTIF(INDIRECT("'"&amp;$I$3&amp;"'!H33"),"YES"))/8,0)</f>
        <v>0</v>
      </c>
      <c r="I35" s="16" t="n">
        <f aca="true">IFERROR((COUNTIF(INDIRECT("'"&amp;$B$3&amp;"'!I33"),"YES")+COUNTIF(INDIRECT("'"&amp;$C$3&amp;"'!I33"),"YES")+COUNTIF(INDIRECT("'"&amp;$D$3&amp;"'!I33"),"YES")+COUNTIF(INDIRECT("'"&amp;$E$3&amp;"'!I33"),"YES")+COUNTIF(INDIRECT("'"&amp;$F$3&amp;"'!I33"),"YES")+COUNTIF(INDIRECT("'"&amp;$G$3&amp;"'!I33"),"YES")+COUNTIF(INDIRECT("'"&amp;$H$3&amp;"'!I33"),"YES")+COUNTIF(INDIRECT("'"&amp;$I$3&amp;"'!I33"),"YES"))/8,0)</f>
        <v>0</v>
      </c>
      <c r="J35" s="16" t="n">
        <f aca="true">IFERROR((COUNTIF(INDIRECT("'"&amp;$B$3&amp;"'!J33"),"YES")+COUNTIF(INDIRECT("'"&amp;$C$3&amp;"'!J33"),"YES")+COUNTIF(INDIRECT("'"&amp;$D$3&amp;"'!J33"),"YES")+COUNTIF(INDIRECT("'"&amp;$E$3&amp;"'!J33"),"YES")+COUNTIF(INDIRECT("'"&amp;$F$3&amp;"'!J33"),"YES")+COUNTIF(INDIRECT("'"&amp;$G$3&amp;"'!J33"),"YES")+COUNTIF(INDIRECT("'"&amp;$H$3&amp;"'!J33"),"YES")+COUNTIF(INDIRECT("'"&amp;$I$3&amp;"'!J33"),"YES"))/8,0)</f>
        <v>0</v>
      </c>
      <c r="K35" s="16" t="n">
        <f aca="true">IFERROR((COUNTIF(INDIRECT("'"&amp;$B$3&amp;"'!K33"),"YES")+COUNTIF(INDIRECT("'"&amp;$C$3&amp;"'!K33"),"YES")+COUNTIF(INDIRECT("'"&amp;$D$3&amp;"'!K33"),"YES")+COUNTIF(INDIRECT("'"&amp;$E$3&amp;"'!K33"),"YES")+COUNTIF(INDIRECT("'"&amp;$F$3&amp;"'!K33"),"YES")+COUNTIF(INDIRECT("'"&amp;$G$3&amp;"'!K33"),"YES")+COUNTIF(INDIRECT("'"&amp;$H$3&amp;"'!K33"),"YES")+COUNTIF(INDIRECT("'"&amp;$I$3&amp;"'!K33"),"YES"))/8,0)</f>
        <v>0</v>
      </c>
      <c r="L35" s="16" t="n">
        <f aca="true">IFERROR((COUNTIF(INDIRECT("'"&amp;$B$3&amp;"'!L33"),"YES")+COUNTIF(INDIRECT("'"&amp;$C$3&amp;"'!L33"),"YES")+COUNTIF(INDIRECT("'"&amp;$D$3&amp;"'!L33"),"YES")+COUNTIF(INDIRECT("'"&amp;$E$3&amp;"'!L33"),"YES")+COUNTIF(INDIRECT("'"&amp;$F$3&amp;"'!L33"),"YES")+COUNTIF(INDIRECT("'"&amp;$G$3&amp;"'!L33"),"YES")+COUNTIF(INDIRECT("'"&amp;$H$3&amp;"'!L33"),"YES")+COUNTIF(INDIRECT("'"&amp;$I$3&amp;"'!L33"),"YES"))/8,0)</f>
        <v>0</v>
      </c>
      <c r="M35" s="17" t="n">
        <f aca="false">IFERROR((J35*3)+(G35*1)+(H35*2)+(I35*2)-(L35*2),0)</f>
        <v>0</v>
      </c>
      <c r="N35" s="7"/>
    </row>
    <row r="36" customFormat="false" ht="15" hidden="false" customHeight="false" outlineLevel="0" collapsed="false">
      <c r="A36" s="5" t="n">
        <v>31</v>
      </c>
      <c r="B36" s="5" t="s">
        <v>76</v>
      </c>
      <c r="C36" s="5" t="s">
        <v>54</v>
      </c>
      <c r="D36" s="5" t="s">
        <v>86</v>
      </c>
      <c r="E36" s="14" t="n">
        <f aca="true">IFERROR((COUNTIF(INDIRECT("'"&amp;$B$3&amp;"'!E34"),"YES")+COUNTIF(INDIRECT("'"&amp;$C$3&amp;"'!E34"),"YES")+COUNTIF(INDIRECT("'"&amp;$D$3&amp;"'!E34"),"YES")+COUNTIF(INDIRECT("'"&amp;$E$3&amp;"'!E34"),"YES")+COUNTIF(INDIRECT("'"&amp;$F$3&amp;"'!E34"),"YES")+COUNTIF(INDIRECT("'"&amp;$G$3&amp;"'!E34"),"YES")+COUNTIF(INDIRECT("'"&amp;$H$3&amp;"'!E34"),"YES")+COUNTIF(INDIRECT("'"&amp;$I$3&amp;"'!E34"),"YES"))/8,0)</f>
        <v>0</v>
      </c>
      <c r="F36" s="15" t="n">
        <f aca="true">IFERROR((IFERROR(VALUE(SUBSTITUTE(INDIRECT("'"&amp;$B$3&amp;"'!F34"),"5+","5")),0)+IFERROR(VALUE(SUBSTITUTE(INDIRECT("'"&amp;$C$3&amp;"'!F34"),"5+","5")),0)+IFERROR(VALUE(SUBSTITUTE(INDIRECT("'"&amp;$D$3&amp;"'!F34"),"5+","5")),0)+IFERROR(VALUE(SUBSTITUTE(INDIRECT("'"&amp;$E$3&amp;"'!F34"),"5+","5")),0)+IFERROR(VALUE(SUBSTITUTE(INDIRECT("'"&amp;$F$3&amp;"'!F34"),"5+","5")),0)+IFERROR(VALUE(SUBSTITUTE(INDIRECT("'"&amp;$G$3&amp;"'!F34"),"5+","5")),0)+IFERROR(VALUE(SUBSTITUTE(INDIRECT("'"&amp;$H$3&amp;"'!F34"),"5+","5")),0)+IFERROR(VALUE(SUBSTITUTE(INDIRECT("'"&amp;$I$3&amp;"'!F34"),"5+","5")),0))/8,0)</f>
        <v>0</v>
      </c>
      <c r="G36" s="14" t="n">
        <f aca="true">IFERROR((COUNTIF(INDIRECT("'"&amp;$B$3&amp;"'!G34"),"YES")+COUNTIF(INDIRECT("'"&amp;$C$3&amp;"'!G34"),"YES")+COUNTIF(INDIRECT("'"&amp;$D$3&amp;"'!G34"),"YES")+COUNTIF(INDIRECT("'"&amp;$E$3&amp;"'!G34"),"YES")+COUNTIF(INDIRECT("'"&amp;$F$3&amp;"'!G34"),"YES")+COUNTIF(INDIRECT("'"&amp;$G$3&amp;"'!G34"),"YES")+COUNTIF(INDIRECT("'"&amp;$H$3&amp;"'!G34"),"YES")+COUNTIF(INDIRECT("'"&amp;$I$3&amp;"'!G34"),"YES"))/8,0)</f>
        <v>0</v>
      </c>
      <c r="H36" s="14" t="n">
        <f aca="true">IFERROR((COUNTIF(INDIRECT("'"&amp;$B$3&amp;"'!H34"),"YES")+COUNTIF(INDIRECT("'"&amp;$C$3&amp;"'!H34"),"YES")+COUNTIF(INDIRECT("'"&amp;$D$3&amp;"'!H34"),"YES")+COUNTIF(INDIRECT("'"&amp;$E$3&amp;"'!H34"),"YES")+COUNTIF(INDIRECT("'"&amp;$F$3&amp;"'!H34"),"YES")+COUNTIF(INDIRECT("'"&amp;$G$3&amp;"'!H34"),"YES")+COUNTIF(INDIRECT("'"&amp;$H$3&amp;"'!H34"),"YES")+COUNTIF(INDIRECT("'"&amp;$I$3&amp;"'!H34"),"YES"))/8,0)</f>
        <v>0</v>
      </c>
      <c r="I36" s="14" t="n">
        <f aca="true">IFERROR((COUNTIF(INDIRECT("'"&amp;$B$3&amp;"'!I34"),"YES")+COUNTIF(INDIRECT("'"&amp;$C$3&amp;"'!I34"),"YES")+COUNTIF(INDIRECT("'"&amp;$D$3&amp;"'!I34"),"YES")+COUNTIF(INDIRECT("'"&amp;$E$3&amp;"'!I34"),"YES")+COUNTIF(INDIRECT("'"&amp;$F$3&amp;"'!I34"),"YES")+COUNTIF(INDIRECT("'"&amp;$G$3&amp;"'!I34"),"YES")+COUNTIF(INDIRECT("'"&amp;$H$3&amp;"'!I34"),"YES")+COUNTIF(INDIRECT("'"&amp;$I$3&amp;"'!I34"),"YES"))/8,0)</f>
        <v>0</v>
      </c>
      <c r="J36" s="14" t="n">
        <f aca="true">IFERROR((COUNTIF(INDIRECT("'"&amp;$B$3&amp;"'!J34"),"YES")+COUNTIF(INDIRECT("'"&amp;$C$3&amp;"'!J34"),"YES")+COUNTIF(INDIRECT("'"&amp;$D$3&amp;"'!J34"),"YES")+COUNTIF(INDIRECT("'"&amp;$E$3&amp;"'!J34"),"YES")+COUNTIF(INDIRECT("'"&amp;$F$3&amp;"'!J34"),"YES")+COUNTIF(INDIRECT("'"&amp;$G$3&amp;"'!J34"),"YES")+COUNTIF(INDIRECT("'"&amp;$H$3&amp;"'!J34"),"YES")+COUNTIF(INDIRECT("'"&amp;$I$3&amp;"'!J34"),"YES"))/8,0)</f>
        <v>0</v>
      </c>
      <c r="K36" s="14" t="n">
        <f aca="true">IFERROR((COUNTIF(INDIRECT("'"&amp;$B$3&amp;"'!K34"),"YES")+COUNTIF(INDIRECT("'"&amp;$C$3&amp;"'!K34"),"YES")+COUNTIF(INDIRECT("'"&amp;$D$3&amp;"'!K34"),"YES")+COUNTIF(INDIRECT("'"&amp;$E$3&amp;"'!K34"),"YES")+COUNTIF(INDIRECT("'"&amp;$F$3&amp;"'!K34"),"YES")+COUNTIF(INDIRECT("'"&amp;$G$3&amp;"'!K34"),"YES")+COUNTIF(INDIRECT("'"&amp;$H$3&amp;"'!K34"),"YES")+COUNTIF(INDIRECT("'"&amp;$I$3&amp;"'!K34"),"YES"))/8,0)</f>
        <v>0</v>
      </c>
      <c r="L36" s="14" t="n">
        <f aca="true">IFERROR((COUNTIF(INDIRECT("'"&amp;$B$3&amp;"'!L34"),"YES")+COUNTIF(INDIRECT("'"&amp;$C$3&amp;"'!L34"),"YES")+COUNTIF(INDIRECT("'"&amp;$D$3&amp;"'!L34"),"YES")+COUNTIF(INDIRECT("'"&amp;$E$3&amp;"'!L34"),"YES")+COUNTIF(INDIRECT("'"&amp;$F$3&amp;"'!L34"),"YES")+COUNTIF(INDIRECT("'"&amp;$G$3&amp;"'!L34"),"YES")+COUNTIF(INDIRECT("'"&amp;$H$3&amp;"'!L34"),"YES")+COUNTIF(INDIRECT("'"&amp;$I$3&amp;"'!L34"),"YES"))/8,0)</f>
        <v>0</v>
      </c>
      <c r="M36" s="15" t="n">
        <f aca="false">IFERROR((J36*3)+(G36*1)+(H36*2)+(I36*2)-(L36*2),0)</f>
        <v>0</v>
      </c>
      <c r="N36" s="5"/>
    </row>
    <row r="37" customFormat="false" ht="15" hidden="false" customHeight="false" outlineLevel="0" collapsed="false">
      <c r="A37" s="7" t="n">
        <v>32</v>
      </c>
      <c r="B37" s="7" t="s">
        <v>76</v>
      </c>
      <c r="C37" s="7" t="s">
        <v>56</v>
      </c>
      <c r="D37" s="7" t="s">
        <v>87</v>
      </c>
      <c r="E37" s="16" t="n">
        <f aca="true">IFERROR((COUNTIF(INDIRECT("'"&amp;$B$3&amp;"'!E35"),"YES")+COUNTIF(INDIRECT("'"&amp;$C$3&amp;"'!E35"),"YES")+COUNTIF(INDIRECT("'"&amp;$D$3&amp;"'!E35"),"YES")+COUNTIF(INDIRECT("'"&amp;$E$3&amp;"'!E35"),"YES")+COUNTIF(INDIRECT("'"&amp;$F$3&amp;"'!E35"),"YES")+COUNTIF(INDIRECT("'"&amp;$G$3&amp;"'!E35"),"YES")+COUNTIF(INDIRECT("'"&amp;$H$3&amp;"'!E35"),"YES")+COUNTIF(INDIRECT("'"&amp;$I$3&amp;"'!E35"),"YES"))/8,0)</f>
        <v>0</v>
      </c>
      <c r="F37" s="17" t="n">
        <f aca="true">IFERROR((IFERROR(VALUE(SUBSTITUTE(INDIRECT("'"&amp;$B$3&amp;"'!F35"),"5+","5")),0)+IFERROR(VALUE(SUBSTITUTE(INDIRECT("'"&amp;$C$3&amp;"'!F35"),"5+","5")),0)+IFERROR(VALUE(SUBSTITUTE(INDIRECT("'"&amp;$D$3&amp;"'!F35"),"5+","5")),0)+IFERROR(VALUE(SUBSTITUTE(INDIRECT("'"&amp;$E$3&amp;"'!F35"),"5+","5")),0)+IFERROR(VALUE(SUBSTITUTE(INDIRECT("'"&amp;$F$3&amp;"'!F35"),"5+","5")),0)+IFERROR(VALUE(SUBSTITUTE(INDIRECT("'"&amp;$G$3&amp;"'!F35"),"5+","5")),0)+IFERROR(VALUE(SUBSTITUTE(INDIRECT("'"&amp;$H$3&amp;"'!F35"),"5+","5")),0)+IFERROR(VALUE(SUBSTITUTE(INDIRECT("'"&amp;$I$3&amp;"'!F35"),"5+","5")),0))/8,0)</f>
        <v>0</v>
      </c>
      <c r="G37" s="16" t="n">
        <f aca="true">IFERROR((COUNTIF(INDIRECT("'"&amp;$B$3&amp;"'!G35"),"YES")+COUNTIF(INDIRECT("'"&amp;$C$3&amp;"'!G35"),"YES")+COUNTIF(INDIRECT("'"&amp;$D$3&amp;"'!G35"),"YES")+COUNTIF(INDIRECT("'"&amp;$E$3&amp;"'!G35"),"YES")+COUNTIF(INDIRECT("'"&amp;$F$3&amp;"'!G35"),"YES")+COUNTIF(INDIRECT("'"&amp;$G$3&amp;"'!G35"),"YES")+COUNTIF(INDIRECT("'"&amp;$H$3&amp;"'!G35"),"YES")+COUNTIF(INDIRECT("'"&amp;$I$3&amp;"'!G35"),"YES"))/8,0)</f>
        <v>0</v>
      </c>
      <c r="H37" s="16" t="n">
        <f aca="true">IFERROR((COUNTIF(INDIRECT("'"&amp;$B$3&amp;"'!H35"),"YES")+COUNTIF(INDIRECT("'"&amp;$C$3&amp;"'!H35"),"YES")+COUNTIF(INDIRECT("'"&amp;$D$3&amp;"'!H35"),"YES")+COUNTIF(INDIRECT("'"&amp;$E$3&amp;"'!H35"),"YES")+COUNTIF(INDIRECT("'"&amp;$F$3&amp;"'!H35"),"YES")+COUNTIF(INDIRECT("'"&amp;$G$3&amp;"'!H35"),"YES")+COUNTIF(INDIRECT("'"&amp;$H$3&amp;"'!H35"),"YES")+COUNTIF(INDIRECT("'"&amp;$I$3&amp;"'!H35"),"YES"))/8,0)</f>
        <v>0</v>
      </c>
      <c r="I37" s="16" t="n">
        <f aca="true">IFERROR((COUNTIF(INDIRECT("'"&amp;$B$3&amp;"'!I35"),"YES")+COUNTIF(INDIRECT("'"&amp;$C$3&amp;"'!I35"),"YES")+COUNTIF(INDIRECT("'"&amp;$D$3&amp;"'!I35"),"YES")+COUNTIF(INDIRECT("'"&amp;$E$3&amp;"'!I35"),"YES")+COUNTIF(INDIRECT("'"&amp;$F$3&amp;"'!I35"),"YES")+COUNTIF(INDIRECT("'"&amp;$G$3&amp;"'!I35"),"YES")+COUNTIF(INDIRECT("'"&amp;$H$3&amp;"'!I35"),"YES")+COUNTIF(INDIRECT("'"&amp;$I$3&amp;"'!I35"),"YES"))/8,0)</f>
        <v>0</v>
      </c>
      <c r="J37" s="16" t="n">
        <f aca="true">IFERROR((COUNTIF(INDIRECT("'"&amp;$B$3&amp;"'!J35"),"YES")+COUNTIF(INDIRECT("'"&amp;$C$3&amp;"'!J35"),"YES")+COUNTIF(INDIRECT("'"&amp;$D$3&amp;"'!J35"),"YES")+COUNTIF(INDIRECT("'"&amp;$E$3&amp;"'!J35"),"YES")+COUNTIF(INDIRECT("'"&amp;$F$3&amp;"'!J35"),"YES")+COUNTIF(INDIRECT("'"&amp;$G$3&amp;"'!J35"),"YES")+COUNTIF(INDIRECT("'"&amp;$H$3&amp;"'!J35"),"YES")+COUNTIF(INDIRECT("'"&amp;$I$3&amp;"'!J35"),"YES"))/8,0)</f>
        <v>0</v>
      </c>
      <c r="K37" s="16" t="n">
        <f aca="true">IFERROR((COUNTIF(INDIRECT("'"&amp;$B$3&amp;"'!K35"),"YES")+COUNTIF(INDIRECT("'"&amp;$C$3&amp;"'!K35"),"YES")+COUNTIF(INDIRECT("'"&amp;$D$3&amp;"'!K35"),"YES")+COUNTIF(INDIRECT("'"&amp;$E$3&amp;"'!K35"),"YES")+COUNTIF(INDIRECT("'"&amp;$F$3&amp;"'!K35"),"YES")+COUNTIF(INDIRECT("'"&amp;$G$3&amp;"'!K35"),"YES")+COUNTIF(INDIRECT("'"&amp;$H$3&amp;"'!K35"),"YES")+COUNTIF(INDIRECT("'"&amp;$I$3&amp;"'!K35"),"YES"))/8,0)</f>
        <v>0</v>
      </c>
      <c r="L37" s="16" t="n">
        <f aca="true">IFERROR((COUNTIF(INDIRECT("'"&amp;$B$3&amp;"'!L35"),"YES")+COUNTIF(INDIRECT("'"&amp;$C$3&amp;"'!L35"),"YES")+COUNTIF(INDIRECT("'"&amp;$D$3&amp;"'!L35"),"YES")+COUNTIF(INDIRECT("'"&amp;$E$3&amp;"'!L35"),"YES")+COUNTIF(INDIRECT("'"&amp;$F$3&amp;"'!L35"),"YES")+COUNTIF(INDIRECT("'"&amp;$G$3&amp;"'!L35"),"YES")+COUNTIF(INDIRECT("'"&amp;$H$3&amp;"'!L35"),"YES")+COUNTIF(INDIRECT("'"&amp;$I$3&amp;"'!L35"),"YES"))/8,0)</f>
        <v>0</v>
      </c>
      <c r="M37" s="17" t="n">
        <f aca="false">IFERROR((J37*3)+(G37*1)+(H37*2)+(I37*2)-(L37*2),0)</f>
        <v>0</v>
      </c>
      <c r="N37" s="7"/>
    </row>
    <row r="38" customFormat="false" ht="15" hidden="false" customHeight="false" outlineLevel="0" collapsed="false">
      <c r="A38" s="5" t="n">
        <v>33</v>
      </c>
      <c r="B38" s="5" t="s">
        <v>76</v>
      </c>
      <c r="C38" s="5" t="s">
        <v>58</v>
      </c>
      <c r="D38" s="5" t="s">
        <v>90</v>
      </c>
      <c r="E38" s="14" t="n">
        <f aca="true">IFERROR((COUNTIF(INDIRECT("'"&amp;$B$3&amp;"'!E36"),"YES")+COUNTIF(INDIRECT("'"&amp;$C$3&amp;"'!E36"),"YES")+COUNTIF(INDIRECT("'"&amp;$D$3&amp;"'!E36"),"YES")+COUNTIF(INDIRECT("'"&amp;$E$3&amp;"'!E36"),"YES")+COUNTIF(INDIRECT("'"&amp;$F$3&amp;"'!E36"),"YES")+COUNTIF(INDIRECT("'"&amp;$G$3&amp;"'!E36"),"YES")+COUNTIF(INDIRECT("'"&amp;$H$3&amp;"'!E36"),"YES")+COUNTIF(INDIRECT("'"&amp;$I$3&amp;"'!E36"),"YES"))/8,0)</f>
        <v>0</v>
      </c>
      <c r="F38" s="15" t="n">
        <f aca="true">IFERROR((IFERROR(VALUE(SUBSTITUTE(INDIRECT("'"&amp;$B$3&amp;"'!F36"),"5+","5")),0)+IFERROR(VALUE(SUBSTITUTE(INDIRECT("'"&amp;$C$3&amp;"'!F36"),"5+","5")),0)+IFERROR(VALUE(SUBSTITUTE(INDIRECT("'"&amp;$D$3&amp;"'!F36"),"5+","5")),0)+IFERROR(VALUE(SUBSTITUTE(INDIRECT("'"&amp;$E$3&amp;"'!F36"),"5+","5")),0)+IFERROR(VALUE(SUBSTITUTE(INDIRECT("'"&amp;$F$3&amp;"'!F36"),"5+","5")),0)+IFERROR(VALUE(SUBSTITUTE(INDIRECT("'"&amp;$G$3&amp;"'!F36"),"5+","5")),0)+IFERROR(VALUE(SUBSTITUTE(INDIRECT("'"&amp;$H$3&amp;"'!F36"),"5+","5")),0)+IFERROR(VALUE(SUBSTITUTE(INDIRECT("'"&amp;$I$3&amp;"'!F36"),"5+","5")),0))/8,0)</f>
        <v>0</v>
      </c>
      <c r="G38" s="14" t="n">
        <f aca="true">IFERROR((COUNTIF(INDIRECT("'"&amp;$B$3&amp;"'!G36"),"YES")+COUNTIF(INDIRECT("'"&amp;$C$3&amp;"'!G36"),"YES")+COUNTIF(INDIRECT("'"&amp;$D$3&amp;"'!G36"),"YES")+COUNTIF(INDIRECT("'"&amp;$E$3&amp;"'!G36"),"YES")+COUNTIF(INDIRECT("'"&amp;$F$3&amp;"'!G36"),"YES")+COUNTIF(INDIRECT("'"&amp;$G$3&amp;"'!G36"),"YES")+COUNTIF(INDIRECT("'"&amp;$H$3&amp;"'!G36"),"YES")+COUNTIF(INDIRECT("'"&amp;$I$3&amp;"'!G36"),"YES"))/8,0)</f>
        <v>0</v>
      </c>
      <c r="H38" s="14" t="n">
        <f aca="true">IFERROR((COUNTIF(INDIRECT("'"&amp;$B$3&amp;"'!H36"),"YES")+COUNTIF(INDIRECT("'"&amp;$C$3&amp;"'!H36"),"YES")+COUNTIF(INDIRECT("'"&amp;$D$3&amp;"'!H36"),"YES")+COUNTIF(INDIRECT("'"&amp;$E$3&amp;"'!H36"),"YES")+COUNTIF(INDIRECT("'"&amp;$F$3&amp;"'!H36"),"YES")+COUNTIF(INDIRECT("'"&amp;$G$3&amp;"'!H36"),"YES")+COUNTIF(INDIRECT("'"&amp;$H$3&amp;"'!H36"),"YES")+COUNTIF(INDIRECT("'"&amp;$I$3&amp;"'!H36"),"YES"))/8,0)</f>
        <v>0</v>
      </c>
      <c r="I38" s="14" t="n">
        <f aca="true">IFERROR((COUNTIF(INDIRECT("'"&amp;$B$3&amp;"'!I36"),"YES")+COUNTIF(INDIRECT("'"&amp;$C$3&amp;"'!I36"),"YES")+COUNTIF(INDIRECT("'"&amp;$D$3&amp;"'!I36"),"YES")+COUNTIF(INDIRECT("'"&amp;$E$3&amp;"'!I36"),"YES")+COUNTIF(INDIRECT("'"&amp;$F$3&amp;"'!I36"),"YES")+COUNTIF(INDIRECT("'"&amp;$G$3&amp;"'!I36"),"YES")+COUNTIF(INDIRECT("'"&amp;$H$3&amp;"'!I36"),"YES")+COUNTIF(INDIRECT("'"&amp;$I$3&amp;"'!I36"),"YES"))/8,0)</f>
        <v>0</v>
      </c>
      <c r="J38" s="14" t="n">
        <f aca="true">IFERROR((COUNTIF(INDIRECT("'"&amp;$B$3&amp;"'!J36"),"YES")+COUNTIF(INDIRECT("'"&amp;$C$3&amp;"'!J36"),"YES")+COUNTIF(INDIRECT("'"&amp;$D$3&amp;"'!J36"),"YES")+COUNTIF(INDIRECT("'"&amp;$E$3&amp;"'!J36"),"YES")+COUNTIF(INDIRECT("'"&amp;$F$3&amp;"'!J36"),"YES")+COUNTIF(INDIRECT("'"&amp;$G$3&amp;"'!J36"),"YES")+COUNTIF(INDIRECT("'"&amp;$H$3&amp;"'!J36"),"YES")+COUNTIF(INDIRECT("'"&amp;$I$3&amp;"'!J36"),"YES"))/8,0)</f>
        <v>0</v>
      </c>
      <c r="K38" s="14" t="n">
        <f aca="true">IFERROR((COUNTIF(INDIRECT("'"&amp;$B$3&amp;"'!K36"),"YES")+COUNTIF(INDIRECT("'"&amp;$C$3&amp;"'!K36"),"YES")+COUNTIF(INDIRECT("'"&amp;$D$3&amp;"'!K36"),"YES")+COUNTIF(INDIRECT("'"&amp;$E$3&amp;"'!K36"),"YES")+COUNTIF(INDIRECT("'"&amp;$F$3&amp;"'!K36"),"YES")+COUNTIF(INDIRECT("'"&amp;$G$3&amp;"'!K36"),"YES")+COUNTIF(INDIRECT("'"&amp;$H$3&amp;"'!K36"),"YES")+COUNTIF(INDIRECT("'"&amp;$I$3&amp;"'!K36"),"YES"))/8,0)</f>
        <v>0</v>
      </c>
      <c r="L38" s="14" t="n">
        <f aca="true">IFERROR((COUNTIF(INDIRECT("'"&amp;$B$3&amp;"'!L36"),"YES")+COUNTIF(INDIRECT("'"&amp;$C$3&amp;"'!L36"),"YES")+COUNTIF(INDIRECT("'"&amp;$D$3&amp;"'!L36"),"YES")+COUNTIF(INDIRECT("'"&amp;$E$3&amp;"'!L36"),"YES")+COUNTIF(INDIRECT("'"&amp;$F$3&amp;"'!L36"),"YES")+COUNTIF(INDIRECT("'"&amp;$G$3&amp;"'!L36"),"YES")+COUNTIF(INDIRECT("'"&amp;$H$3&amp;"'!L36"),"YES")+COUNTIF(INDIRECT("'"&amp;$I$3&amp;"'!L36"),"YES"))/8,0)</f>
        <v>0</v>
      </c>
      <c r="M38" s="15" t="n">
        <f aca="false">IFERROR((J38*3)+(G38*1)+(H38*2)+(I38*2)-(L38*2),0)</f>
        <v>0</v>
      </c>
      <c r="N38" s="5"/>
    </row>
    <row r="40" customFormat="false" ht="15" hidden="false" customHeight="false" outlineLevel="0" collapsed="false">
      <c r="A40" s="18" t="s">
        <v>125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6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9" min="8" style="0" width="30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19" t="s">
        <v>126</v>
      </c>
      <c r="B1" s="19" t="s">
        <v>127</v>
      </c>
      <c r="C1" s="19" t="s">
        <v>18</v>
      </c>
      <c r="D1" s="19" t="s">
        <v>19</v>
      </c>
      <c r="E1" s="19" t="s">
        <v>128</v>
      </c>
      <c r="F1" s="19" t="s">
        <v>129</v>
      </c>
      <c r="G1" s="19" t="s">
        <v>130</v>
      </c>
      <c r="H1" s="19" t="s">
        <v>131</v>
      </c>
      <c r="I1" s="19" t="s">
        <v>132</v>
      </c>
      <c r="J1" s="19" t="s">
        <v>133</v>
      </c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</row>
  </sheetData>
  <dataValidations count="1">
    <dataValidation allowBlank="true" errorStyle="stop" operator="between" showDropDown="false" showErrorMessage="false" showInputMessage="false" sqref="G2:G51" type="list">
      <formula1>"Tweak,Replace,New Version,Remove,Swap Slot"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20" t="s">
        <v>126</v>
      </c>
      <c r="B1" s="20" t="s">
        <v>127</v>
      </c>
      <c r="C1" s="20" t="s">
        <v>124</v>
      </c>
      <c r="D1" s="20" t="s">
        <v>134</v>
      </c>
    </row>
    <row r="2" customFormat="false" ht="23.85" hidden="false" customHeight="false" outlineLevel="0" collapsed="false">
      <c r="A2" s="5" t="s">
        <v>135</v>
      </c>
      <c r="B2" s="5" t="s">
        <v>136</v>
      </c>
      <c r="C2" s="5" t="s">
        <v>137</v>
      </c>
      <c r="D2" s="5" t="s">
        <v>138</v>
      </c>
    </row>
    <row r="3" customFormat="false" ht="15" hidden="false" customHeight="false" outlineLevel="0" collapsed="false">
      <c r="A3" s="7"/>
      <c r="B3" s="7"/>
      <c r="C3" s="7"/>
      <c r="D3" s="7"/>
    </row>
    <row r="4" customFormat="false" ht="15" hidden="false" customHeight="false" outlineLevel="0" collapsed="false">
      <c r="A4" s="5"/>
      <c r="B4" s="5"/>
      <c r="C4" s="5"/>
      <c r="D4" s="5"/>
    </row>
    <row r="5" customFormat="false" ht="15" hidden="false" customHeight="false" outlineLevel="0" collapsed="false">
      <c r="A5" s="7"/>
      <c r="B5" s="7"/>
      <c r="C5" s="7"/>
      <c r="D5" s="7"/>
    </row>
    <row r="6" customFormat="false" ht="15" hidden="false" customHeight="false" outlineLevel="0" collapsed="false">
      <c r="A6" s="5"/>
      <c r="B6" s="5"/>
      <c r="C6" s="5"/>
      <c r="D6" s="5"/>
    </row>
    <row r="7" customFormat="false" ht="15" hidden="false" customHeight="false" outlineLevel="0" collapsed="false">
      <c r="A7" s="7"/>
      <c r="B7" s="7"/>
      <c r="C7" s="7"/>
      <c r="D7" s="7"/>
    </row>
    <row r="8" customFormat="false" ht="15" hidden="false" customHeight="false" outlineLevel="0" collapsed="false">
      <c r="A8" s="5"/>
      <c r="B8" s="5"/>
      <c r="C8" s="5"/>
      <c r="D8" s="5"/>
    </row>
    <row r="9" customFormat="false" ht="15" hidden="false" customHeight="false" outlineLevel="0" collapsed="false">
      <c r="A9" s="7"/>
      <c r="B9" s="7"/>
      <c r="C9" s="7"/>
      <c r="D9" s="7"/>
    </row>
    <row r="10" customFormat="false" ht="15" hidden="false" customHeight="false" outlineLevel="0" collapsed="false">
      <c r="A10" s="5"/>
      <c r="B10" s="5"/>
      <c r="C10" s="5"/>
      <c r="D10" s="5"/>
    </row>
    <row r="11" customFormat="false" ht="15" hidden="false" customHeight="false" outlineLevel="0" collapsed="false">
      <c r="A11" s="7"/>
      <c r="B11" s="7"/>
      <c r="C11" s="7"/>
      <c r="D11" s="7"/>
    </row>
    <row r="12" customFormat="false" ht="15" hidden="false" customHeight="false" outlineLevel="0" collapsed="false">
      <c r="A12" s="5"/>
      <c r="B12" s="5"/>
      <c r="C12" s="5"/>
      <c r="D12" s="5"/>
    </row>
    <row r="13" customFormat="false" ht="15" hidden="false" customHeight="false" outlineLevel="0" collapsed="false">
      <c r="A13" s="7"/>
      <c r="B13" s="7"/>
      <c r="C13" s="7"/>
      <c r="D13" s="7"/>
    </row>
    <row r="14" customFormat="false" ht="15" hidden="false" customHeight="false" outlineLevel="0" collapsed="false">
      <c r="A14" s="5"/>
      <c r="B14" s="5"/>
      <c r="C14" s="5"/>
      <c r="D14" s="5"/>
    </row>
    <row r="15" customFormat="false" ht="15" hidden="false" customHeight="false" outlineLevel="0" collapsed="false">
      <c r="A15" s="7"/>
      <c r="B15" s="7"/>
      <c r="C15" s="7"/>
      <c r="D15" s="7"/>
    </row>
    <row r="16" customFormat="false" ht="15" hidden="false" customHeight="false" outlineLevel="0" collapsed="false">
      <c r="A16" s="5"/>
      <c r="B16" s="5"/>
      <c r="C16" s="5"/>
      <c r="D16" s="5"/>
    </row>
    <row r="17" customFormat="false" ht="15" hidden="false" customHeight="false" outlineLevel="0" collapsed="false">
      <c r="A17" s="7"/>
      <c r="B17" s="7"/>
      <c r="C17" s="7"/>
      <c r="D17" s="7"/>
    </row>
    <row r="18" customFormat="false" ht="15" hidden="false" customHeight="false" outlineLevel="0" collapsed="false">
      <c r="A18" s="5"/>
      <c r="B18" s="5"/>
      <c r="C18" s="5"/>
      <c r="D18" s="5"/>
    </row>
    <row r="19" customFormat="false" ht="15" hidden="false" customHeight="false" outlineLevel="0" collapsed="false">
      <c r="A19" s="7"/>
      <c r="B19" s="7"/>
      <c r="C19" s="7"/>
      <c r="D19" s="7"/>
    </row>
    <row r="20" customFormat="false" ht="15" hidden="false" customHeight="false" outlineLevel="0" collapsed="false">
      <c r="A20" s="5"/>
      <c r="B20" s="5"/>
      <c r="C20" s="5"/>
      <c r="D20" s="5"/>
    </row>
    <row r="21" customFormat="false" ht="15" hidden="false" customHeight="false" outlineLevel="0" collapsed="false">
      <c r="A21" s="7"/>
      <c r="B21" s="7"/>
      <c r="C21" s="7"/>
      <c r="D21" s="7"/>
    </row>
    <row r="22" customFormat="false" ht="15" hidden="false" customHeight="false" outlineLevel="0" collapsed="false">
      <c r="A22" s="5"/>
      <c r="B22" s="5"/>
      <c r="C22" s="5"/>
      <c r="D22" s="5"/>
    </row>
    <row r="23" customFormat="false" ht="15" hidden="false" customHeight="false" outlineLevel="0" collapsed="false">
      <c r="A23" s="7"/>
      <c r="B23" s="7"/>
      <c r="C23" s="7"/>
      <c r="D23" s="7"/>
    </row>
    <row r="24" customFormat="false" ht="15" hidden="false" customHeight="false" outlineLevel="0" collapsed="false">
      <c r="A24" s="5"/>
      <c r="B24" s="5"/>
      <c r="C24" s="5"/>
      <c r="D24" s="5"/>
    </row>
    <row r="25" customFormat="false" ht="15" hidden="false" customHeight="false" outlineLevel="0" collapsed="false">
      <c r="A25" s="7"/>
      <c r="B25" s="7"/>
      <c r="C25" s="7"/>
      <c r="D25" s="7"/>
    </row>
    <row r="26" customFormat="false" ht="15" hidden="false" customHeight="false" outlineLevel="0" collapsed="false">
      <c r="A26" s="5"/>
      <c r="B26" s="5"/>
      <c r="C26" s="5"/>
      <c r="D26" s="5"/>
    </row>
    <row r="27" customFormat="false" ht="15" hidden="false" customHeight="false" outlineLevel="0" collapsed="false">
      <c r="A27" s="7"/>
      <c r="B27" s="7"/>
      <c r="C27" s="7"/>
      <c r="D27" s="7"/>
    </row>
    <row r="28" customFormat="false" ht="15" hidden="false" customHeight="false" outlineLevel="0" collapsed="false">
      <c r="A28" s="5"/>
      <c r="B28" s="5"/>
      <c r="C28" s="5"/>
      <c r="D28" s="5"/>
    </row>
    <row r="29" customFormat="false" ht="15" hidden="false" customHeight="false" outlineLevel="0" collapsed="false">
      <c r="A29" s="7"/>
      <c r="B29" s="7"/>
      <c r="C29" s="7"/>
      <c r="D29" s="7"/>
    </row>
    <row r="30" customFormat="false" ht="15" hidden="false" customHeight="false" outlineLevel="0" collapsed="false">
      <c r="A30" s="5"/>
      <c r="B30" s="5"/>
      <c r="C30" s="5"/>
      <c r="D30" s="5"/>
    </row>
    <row r="31" customFormat="false" ht="15" hidden="false" customHeight="false" outlineLevel="0" collapsed="false">
      <c r="A31" s="7"/>
      <c r="B31" s="7"/>
      <c r="C31" s="7"/>
      <c r="D31" s="7"/>
    </row>
    <row r="32" customFormat="false" ht="15" hidden="false" customHeight="false" outlineLevel="0" collapsed="false">
      <c r="A32" s="5"/>
      <c r="B32" s="5"/>
      <c r="C32" s="5"/>
      <c r="D32" s="5"/>
    </row>
    <row r="33" customFormat="false" ht="15" hidden="false" customHeight="false" outlineLevel="0" collapsed="false">
      <c r="A33" s="7"/>
      <c r="B33" s="7"/>
      <c r="C33" s="7"/>
      <c r="D33" s="7"/>
    </row>
    <row r="34" customFormat="false" ht="15" hidden="false" customHeight="false" outlineLevel="0" collapsed="false">
      <c r="A34" s="5"/>
      <c r="B34" s="5"/>
      <c r="C34" s="5"/>
      <c r="D34" s="5"/>
    </row>
    <row r="35" customFormat="false" ht="15" hidden="false" customHeight="false" outlineLevel="0" collapsed="false">
      <c r="A35" s="7"/>
      <c r="B35" s="7"/>
      <c r="C35" s="7"/>
      <c r="D35" s="7"/>
    </row>
    <row r="36" customFormat="false" ht="15" hidden="false" customHeight="false" outlineLevel="0" collapsed="false">
      <c r="A36" s="5"/>
      <c r="B36" s="5"/>
      <c r="C36" s="5"/>
      <c r="D36" s="5"/>
    </row>
    <row r="37" customFormat="false" ht="15" hidden="false" customHeight="false" outlineLevel="0" collapsed="false">
      <c r="A37" s="7"/>
      <c r="B37" s="7"/>
      <c r="C37" s="7"/>
      <c r="D37" s="7"/>
    </row>
    <row r="38" customFormat="false" ht="15" hidden="false" customHeight="false" outlineLevel="0" collapsed="false">
      <c r="A38" s="5"/>
      <c r="B38" s="5"/>
      <c r="C38" s="5"/>
      <c r="D38" s="5"/>
    </row>
    <row r="39" customFormat="false" ht="15" hidden="false" customHeight="false" outlineLevel="0" collapsed="false">
      <c r="A39" s="7"/>
      <c r="B39" s="7"/>
      <c r="C39" s="7"/>
      <c r="D39" s="7"/>
    </row>
    <row r="40" customFormat="false" ht="15" hidden="false" customHeight="false" outlineLevel="0" collapsed="false">
      <c r="A40" s="5"/>
      <c r="B40" s="5"/>
      <c r="C40" s="5"/>
      <c r="D40" s="5"/>
    </row>
    <row r="41" customFormat="false" ht="15" hidden="false" customHeight="false" outlineLevel="0" collapsed="false">
      <c r="A41" s="7"/>
      <c r="B41" s="7"/>
      <c r="C41" s="7"/>
      <c r="D41" s="7"/>
    </row>
    <row r="42" customFormat="false" ht="15" hidden="false" customHeight="false" outlineLevel="0" collapsed="false">
      <c r="A42" s="5"/>
      <c r="B42" s="5"/>
      <c r="C42" s="5"/>
      <c r="D42" s="5"/>
    </row>
    <row r="43" customFormat="false" ht="15" hidden="false" customHeight="false" outlineLevel="0" collapsed="false">
      <c r="A43" s="7"/>
      <c r="B43" s="7"/>
      <c r="C43" s="7"/>
      <c r="D43" s="7"/>
    </row>
    <row r="44" customFormat="false" ht="15" hidden="false" customHeight="false" outlineLevel="0" collapsed="false">
      <c r="A44" s="5"/>
      <c r="B44" s="5"/>
      <c r="C44" s="5"/>
      <c r="D44" s="5"/>
    </row>
    <row r="45" customFormat="false" ht="15" hidden="false" customHeight="false" outlineLevel="0" collapsed="false">
      <c r="A45" s="7"/>
      <c r="B45" s="7"/>
      <c r="C45" s="7"/>
      <c r="D45" s="7"/>
    </row>
    <row r="46" customFormat="false" ht="15" hidden="false" customHeight="false" outlineLevel="0" collapsed="false">
      <c r="A46" s="5"/>
      <c r="B46" s="5"/>
      <c r="C46" s="5"/>
      <c r="D46" s="5"/>
    </row>
    <row r="47" customFormat="false" ht="15" hidden="false" customHeight="false" outlineLevel="0" collapsed="false">
      <c r="A47" s="7"/>
      <c r="B47" s="7"/>
      <c r="C47" s="7"/>
      <c r="D47" s="7"/>
    </row>
    <row r="48" customFormat="false" ht="15" hidden="false" customHeight="false" outlineLevel="0" collapsed="false">
      <c r="A48" s="5"/>
      <c r="B48" s="5"/>
      <c r="C48" s="5"/>
      <c r="D48" s="5"/>
    </row>
    <row r="49" customFormat="false" ht="15" hidden="false" customHeight="false" outlineLevel="0" collapsed="false">
      <c r="A49" s="7"/>
      <c r="B49" s="7"/>
      <c r="C49" s="7"/>
      <c r="D49" s="7"/>
    </row>
    <row r="50" customFormat="false" ht="15" hidden="false" customHeight="false" outlineLevel="0" collapsed="false">
      <c r="A50" s="5"/>
      <c r="B50" s="5"/>
      <c r="C50" s="5"/>
      <c r="D50" s="5"/>
    </row>
    <row r="51" customFormat="false" ht="15" hidden="false" customHeight="false" outlineLevel="0" collapsed="false">
      <c r="A51" s="7"/>
      <c r="B51" s="7"/>
      <c r="C51" s="7"/>
      <c r="D5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2026-03-24T16:15:15Z</dcterms:created>
  <dc:creator>openpyxl</dc:creator>
  <dc:description/>
  <dc:language>en-US</dc:language>
  <cp:lastModifiedBy/>
  <dcterms:modified xsi:type="dcterms:W3CDTF">2026-03-24T16:15:15Z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